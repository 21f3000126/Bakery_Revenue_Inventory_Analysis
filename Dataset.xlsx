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0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jasi-PC\Desktop\"/>
    </mc:Choice>
  </mc:AlternateContent>
  <xr:revisionPtr revIDLastSave="0" documentId="13_ncr:1_{6E2E4ED7-FAB8-4991-A94B-CD31BCE7DF02}" xr6:coauthVersionLast="47" xr6:coauthVersionMax="47" xr10:uidLastSave="{00000000-0000-0000-0000-000000000000}"/>
  <bookViews>
    <workbookView xWindow="-120" yWindow="-120" windowWidth="20730" windowHeight="11160" firstSheet="6" activeTab="6" xr2:uid="{8BB8B587-1F25-429D-9565-3364737BCAF0}"/>
  </bookViews>
  <sheets>
    <sheet name="Original Sales Data" sheetId="3" r:id="rId1"/>
    <sheet name="Updated Original Sales Data" sheetId="1" r:id="rId2"/>
    <sheet name="Sheet1" sheetId="30" r:id="rId3"/>
    <sheet name="Weekly Average Sales" sheetId="23" r:id="rId4"/>
    <sheet name="Average Weekday Sale" sheetId="25" r:id="rId5"/>
    <sheet name="Sheet4" sheetId="26" r:id="rId6"/>
    <sheet name="Total Revnue vs total Profit" sheetId="28" r:id="rId7"/>
    <sheet name="Sheet3" sheetId="29" r:id="rId8"/>
    <sheet name="Daily Sales" sheetId="17" r:id="rId9"/>
    <sheet name="Profit Trend" sheetId="13" r:id="rId10"/>
    <sheet name="Weekly Sales" sheetId="4" r:id="rId11"/>
    <sheet name="Sales vs Profit" sheetId="22" r:id="rId12"/>
    <sheet name="Item Type Wise Sales" sheetId="9" r:id="rId13"/>
    <sheet name="ABC Analysis" sheetId="19" r:id="rId14"/>
    <sheet name="No of items sold" sheetId="8" r:id="rId15"/>
  </sheets>
  <calcPr calcId="191029"/>
  <pivotCaches>
    <pivotCache cacheId="0" r:id="rId16"/>
    <pivotCache cacheId="1" r:id="rId17"/>
    <pivotCache cacheId="2" r:id="rId18"/>
    <pivotCache cacheId="3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2" l="1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F11" i="25"/>
  <c r="F10" i="25"/>
  <c r="F9" i="25"/>
  <c r="F8" i="25"/>
  <c r="F5" i="25"/>
  <c r="I6" i="23"/>
  <c r="E8" i="23"/>
  <c r="E7" i="23"/>
  <c r="E6" i="23"/>
  <c r="E5" i="23"/>
  <c r="I4" i="17"/>
  <c r="E24" i="19" l="1"/>
  <c r="E25" i="19"/>
  <c r="E26" i="19"/>
  <c r="E27" i="19"/>
  <c r="E28" i="19"/>
  <c r="E29" i="19"/>
  <c r="E30" i="19"/>
  <c r="E31" i="19"/>
  <c r="E32" i="19"/>
  <c r="E33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5" i="19"/>
  <c r="E6" i="19"/>
  <c r="E7" i="19"/>
  <c r="E8" i="19"/>
  <c r="E4" i="19"/>
  <c r="F4" i="19" s="1"/>
  <c r="J10" i="17"/>
  <c r="J11" i="17"/>
  <c r="H7" i="4"/>
  <c r="L7" i="4"/>
  <c r="M7" i="4"/>
  <c r="M9" i="4"/>
  <c r="M10" i="4"/>
  <c r="M11" i="4"/>
  <c r="H12" i="4"/>
  <c r="L12" i="4"/>
  <c r="M12" i="4"/>
  <c r="J7" i="17"/>
  <c r="J8" i="17"/>
  <c r="J9" i="17"/>
  <c r="H2" i="1"/>
  <c r="K2" i="1" s="1"/>
  <c r="H3" i="1"/>
  <c r="H4" i="1"/>
  <c r="L4" i="1"/>
  <c r="H5" i="1"/>
  <c r="K5" i="1" s="1"/>
  <c r="L5" i="1"/>
  <c r="H6" i="1"/>
  <c r="K6" i="1" s="1"/>
  <c r="H7" i="1"/>
  <c r="H8" i="1"/>
  <c r="L8" i="1"/>
  <c r="H9" i="1"/>
  <c r="K9" i="1" s="1"/>
  <c r="L9" i="1"/>
  <c r="H10" i="1"/>
  <c r="K10" i="1" s="1"/>
  <c r="H11" i="1"/>
  <c r="H12" i="1"/>
  <c r="L12" i="1"/>
  <c r="H13" i="1"/>
  <c r="K13" i="1" s="1"/>
  <c r="L13" i="1"/>
  <c r="H14" i="1"/>
  <c r="K14" i="1" s="1"/>
  <c r="H15" i="1"/>
  <c r="H16" i="1"/>
  <c r="L16" i="1"/>
  <c r="H17" i="1"/>
  <c r="K17" i="1" s="1"/>
  <c r="L17" i="1"/>
  <c r="H18" i="1"/>
  <c r="K18" i="1" s="1"/>
  <c r="H19" i="1"/>
  <c r="H20" i="1"/>
  <c r="L20" i="1"/>
  <c r="H21" i="1"/>
  <c r="K21" i="1" s="1"/>
  <c r="L21" i="1"/>
  <c r="H22" i="1"/>
  <c r="K22" i="1" s="1"/>
  <c r="H23" i="1"/>
  <c r="H24" i="1"/>
  <c r="L24" i="1"/>
  <c r="H25" i="1"/>
  <c r="K25" i="1" s="1"/>
  <c r="L25" i="1"/>
  <c r="H26" i="1"/>
  <c r="K26" i="1" s="1"/>
  <c r="H27" i="1"/>
  <c r="H28" i="1"/>
  <c r="L28" i="1"/>
  <c r="H29" i="1"/>
  <c r="K29" i="1" s="1"/>
  <c r="L29" i="1"/>
  <c r="H30" i="1"/>
  <c r="K30" i="1" s="1"/>
  <c r="H31" i="1"/>
  <c r="H32" i="1"/>
  <c r="L32" i="1"/>
  <c r="H33" i="1"/>
  <c r="K33" i="1" s="1"/>
  <c r="L33" i="1"/>
  <c r="H34" i="1"/>
  <c r="K34" i="1" s="1"/>
  <c r="H35" i="1"/>
  <c r="H36" i="1"/>
  <c r="L36" i="1"/>
  <c r="H37" i="1"/>
  <c r="K37" i="1" s="1"/>
  <c r="L37" i="1"/>
  <c r="H38" i="1"/>
  <c r="K38" i="1" s="1"/>
  <c r="H39" i="1"/>
  <c r="H40" i="1"/>
  <c r="L40" i="1"/>
  <c r="H41" i="1"/>
  <c r="K41" i="1" s="1"/>
  <c r="L41" i="1"/>
  <c r="H42" i="1"/>
  <c r="K42" i="1" s="1"/>
  <c r="H43" i="1"/>
  <c r="H44" i="1"/>
  <c r="L44" i="1"/>
  <c r="H45" i="1"/>
  <c r="K45" i="1" s="1"/>
  <c r="L45" i="1"/>
  <c r="H46" i="1"/>
  <c r="K46" i="1" s="1"/>
  <c r="H47" i="1"/>
  <c r="H48" i="1"/>
  <c r="L48" i="1"/>
  <c r="H49" i="1"/>
  <c r="K49" i="1" s="1"/>
  <c r="L49" i="1"/>
  <c r="H50" i="1"/>
  <c r="K50" i="1" s="1"/>
  <c r="H51" i="1"/>
  <c r="H52" i="1"/>
  <c r="L52" i="1"/>
  <c r="H53" i="1"/>
  <c r="K53" i="1" s="1"/>
  <c r="L53" i="1"/>
  <c r="H54" i="1"/>
  <c r="K54" i="1" s="1"/>
  <c r="H55" i="1"/>
  <c r="H56" i="1"/>
  <c r="L56" i="1"/>
  <c r="H57" i="1"/>
  <c r="K57" i="1" s="1"/>
  <c r="L57" i="1"/>
  <c r="H58" i="1"/>
  <c r="K58" i="1" s="1"/>
  <c r="H59" i="1"/>
  <c r="H60" i="1"/>
  <c r="L60" i="1"/>
  <c r="H61" i="1"/>
  <c r="K61" i="1" s="1"/>
  <c r="L61" i="1"/>
  <c r="H62" i="1"/>
  <c r="K62" i="1" s="1"/>
  <c r="H63" i="1"/>
  <c r="H64" i="1"/>
  <c r="L64" i="1"/>
  <c r="H65" i="1"/>
  <c r="K65" i="1" s="1"/>
  <c r="L65" i="1"/>
  <c r="H66" i="1"/>
  <c r="K66" i="1" s="1"/>
  <c r="H67" i="1"/>
  <c r="H68" i="1"/>
  <c r="L68" i="1"/>
  <c r="H69" i="1"/>
  <c r="K69" i="1" s="1"/>
  <c r="L69" i="1"/>
  <c r="H70" i="1"/>
  <c r="K70" i="1" s="1"/>
  <c r="H71" i="1"/>
  <c r="H72" i="1"/>
  <c r="L72" i="1"/>
  <c r="H73" i="1"/>
  <c r="K73" i="1" s="1"/>
  <c r="L73" i="1"/>
  <c r="H74" i="1"/>
  <c r="K74" i="1" s="1"/>
  <c r="H75" i="1"/>
  <c r="H76" i="1"/>
  <c r="L76" i="1"/>
  <c r="H77" i="1"/>
  <c r="K77" i="1" s="1"/>
  <c r="L77" i="1"/>
  <c r="H78" i="1"/>
  <c r="K78" i="1" s="1"/>
  <c r="H79" i="1"/>
  <c r="H80" i="1"/>
  <c r="L80" i="1"/>
  <c r="H81" i="1"/>
  <c r="K81" i="1" s="1"/>
  <c r="L81" i="1"/>
  <c r="H82" i="1"/>
  <c r="K82" i="1" s="1"/>
  <c r="H83" i="1"/>
  <c r="H84" i="1"/>
  <c r="L84" i="1"/>
  <c r="H85" i="1"/>
  <c r="K85" i="1" s="1"/>
  <c r="L85" i="1"/>
  <c r="H86" i="1"/>
  <c r="K86" i="1" s="1"/>
  <c r="L86" i="1"/>
  <c r="H87" i="1"/>
  <c r="K87" i="1" s="1"/>
  <c r="L87" i="1"/>
  <c r="H88" i="1"/>
  <c r="K88" i="1" s="1"/>
  <c r="L88" i="1"/>
  <c r="H89" i="1"/>
  <c r="K89" i="1" s="1"/>
  <c r="L89" i="1"/>
  <c r="H90" i="1"/>
  <c r="K90" i="1" s="1"/>
  <c r="L90" i="1"/>
  <c r="H91" i="1"/>
  <c r="K91" i="1" s="1"/>
  <c r="L91" i="1"/>
  <c r="H92" i="1"/>
  <c r="K92" i="1" s="1"/>
  <c r="L92" i="1"/>
  <c r="H93" i="1"/>
  <c r="K93" i="1" s="1"/>
  <c r="L93" i="1"/>
  <c r="H94" i="1"/>
  <c r="K94" i="1" s="1"/>
  <c r="L94" i="1"/>
  <c r="H95" i="1"/>
  <c r="K95" i="1" s="1"/>
  <c r="L95" i="1"/>
  <c r="H96" i="1"/>
  <c r="K96" i="1" s="1"/>
  <c r="H97" i="1"/>
  <c r="K97" i="1" s="1"/>
  <c r="L97" i="1"/>
  <c r="H98" i="1"/>
  <c r="K98" i="1" s="1"/>
  <c r="H99" i="1"/>
  <c r="K99" i="1" s="1"/>
  <c r="L99" i="1"/>
  <c r="H100" i="1"/>
  <c r="K100" i="1" s="1"/>
  <c r="H101" i="1"/>
  <c r="K101" i="1" s="1"/>
  <c r="L101" i="1"/>
  <c r="H102" i="1"/>
  <c r="K102" i="1" s="1"/>
  <c r="H103" i="1"/>
  <c r="K103" i="1" s="1"/>
  <c r="L103" i="1"/>
  <c r="H104" i="1"/>
  <c r="K104" i="1" s="1"/>
  <c r="H105" i="1"/>
  <c r="K105" i="1" s="1"/>
  <c r="L105" i="1"/>
  <c r="H106" i="1"/>
  <c r="K106" i="1" s="1"/>
  <c r="H107" i="1"/>
  <c r="K107" i="1" s="1"/>
  <c r="L107" i="1"/>
  <c r="H108" i="1"/>
  <c r="K108" i="1" s="1"/>
  <c r="H109" i="1"/>
  <c r="K109" i="1" s="1"/>
  <c r="L109" i="1"/>
  <c r="H110" i="1"/>
  <c r="K110" i="1" s="1"/>
  <c r="H111" i="1"/>
  <c r="K111" i="1" s="1"/>
  <c r="L111" i="1"/>
  <c r="H112" i="1"/>
  <c r="K112" i="1" s="1"/>
  <c r="H113" i="1"/>
  <c r="K113" i="1" s="1"/>
  <c r="L113" i="1"/>
  <c r="H114" i="1"/>
  <c r="K114" i="1" s="1"/>
  <c r="H115" i="1"/>
  <c r="K115" i="1" s="1"/>
  <c r="L115" i="1"/>
  <c r="H116" i="1"/>
  <c r="K116" i="1" s="1"/>
  <c r="H117" i="1"/>
  <c r="K117" i="1" s="1"/>
  <c r="L117" i="1"/>
  <c r="H118" i="1"/>
  <c r="K118" i="1" s="1"/>
  <c r="H119" i="1"/>
  <c r="K119" i="1" s="1"/>
  <c r="L119" i="1"/>
  <c r="H120" i="1"/>
  <c r="K120" i="1" s="1"/>
  <c r="H121" i="1"/>
  <c r="K121" i="1" s="1"/>
  <c r="L121" i="1"/>
  <c r="H122" i="1"/>
  <c r="K122" i="1" s="1"/>
  <c r="H123" i="1"/>
  <c r="K123" i="1" s="1"/>
  <c r="L123" i="1"/>
  <c r="H124" i="1"/>
  <c r="K124" i="1" s="1"/>
  <c r="H125" i="1"/>
  <c r="K125" i="1" s="1"/>
  <c r="L125" i="1"/>
  <c r="H126" i="1"/>
  <c r="K126" i="1" s="1"/>
  <c r="H127" i="1"/>
  <c r="K127" i="1" s="1"/>
  <c r="L127" i="1"/>
  <c r="H128" i="1"/>
  <c r="K128" i="1" s="1"/>
  <c r="H129" i="1"/>
  <c r="K129" i="1"/>
  <c r="L129" i="1"/>
  <c r="H130" i="1"/>
  <c r="K130" i="1"/>
  <c r="L130" i="1"/>
  <c r="H131" i="1"/>
  <c r="K131" i="1"/>
  <c r="L131" i="1"/>
  <c r="H132" i="1"/>
  <c r="K132" i="1"/>
  <c r="L132" i="1"/>
  <c r="H133" i="1"/>
  <c r="K133" i="1"/>
  <c r="L133" i="1"/>
  <c r="H134" i="1"/>
  <c r="K134" i="1"/>
  <c r="L134" i="1"/>
  <c r="H135" i="1"/>
  <c r="K135" i="1"/>
  <c r="L135" i="1"/>
  <c r="H136" i="1"/>
  <c r="K136" i="1"/>
  <c r="L136" i="1"/>
  <c r="H137" i="1"/>
  <c r="K137" i="1"/>
  <c r="L137" i="1"/>
  <c r="H138" i="1"/>
  <c r="K138" i="1"/>
  <c r="L138" i="1"/>
  <c r="H139" i="1"/>
  <c r="K139" i="1"/>
  <c r="L139" i="1"/>
  <c r="H140" i="1"/>
  <c r="K140" i="1"/>
  <c r="L140" i="1"/>
  <c r="H141" i="1"/>
  <c r="K141" i="1"/>
  <c r="L141" i="1"/>
  <c r="H142" i="1"/>
  <c r="K142" i="1"/>
  <c r="L142" i="1"/>
  <c r="H143" i="1"/>
  <c r="K143" i="1"/>
  <c r="L143" i="1"/>
  <c r="H144" i="1"/>
  <c r="K144" i="1"/>
  <c r="L144" i="1"/>
  <c r="H145" i="1"/>
  <c r="K145" i="1"/>
  <c r="L145" i="1"/>
  <c r="H146" i="1"/>
  <c r="K146" i="1"/>
  <c r="L146" i="1"/>
  <c r="H147" i="1"/>
  <c r="K147" i="1"/>
  <c r="L147" i="1"/>
  <c r="H148" i="1"/>
  <c r="K148" i="1"/>
  <c r="L148" i="1"/>
  <c r="H149" i="1"/>
  <c r="K149" i="1"/>
  <c r="L149" i="1"/>
  <c r="H150" i="1"/>
  <c r="K150" i="1"/>
  <c r="L150" i="1"/>
  <c r="H151" i="1"/>
  <c r="K151" i="1"/>
  <c r="L151" i="1"/>
  <c r="H152" i="1"/>
  <c r="K152" i="1"/>
  <c r="L152" i="1"/>
  <c r="H153" i="1"/>
  <c r="K153" i="1"/>
  <c r="L153" i="1"/>
  <c r="H154" i="1"/>
  <c r="K154" i="1"/>
  <c r="L154" i="1"/>
  <c r="H155" i="1"/>
  <c r="K155" i="1"/>
  <c r="L155" i="1"/>
  <c r="H156" i="1"/>
  <c r="K156" i="1"/>
  <c r="L156" i="1"/>
  <c r="H157" i="1"/>
  <c r="K157" i="1"/>
  <c r="L157" i="1"/>
  <c r="H158" i="1"/>
  <c r="K158" i="1"/>
  <c r="L158" i="1"/>
  <c r="H159" i="1"/>
  <c r="K159" i="1"/>
  <c r="L159" i="1"/>
  <c r="H160" i="1"/>
  <c r="K160" i="1"/>
  <c r="L160" i="1"/>
  <c r="H161" i="1"/>
  <c r="K161" i="1"/>
  <c r="L161" i="1"/>
  <c r="H162" i="1"/>
  <c r="K162" i="1"/>
  <c r="L162" i="1"/>
  <c r="H163" i="1"/>
  <c r="K163" i="1"/>
  <c r="L163" i="1"/>
  <c r="H164" i="1"/>
  <c r="K164" i="1"/>
  <c r="L164" i="1"/>
  <c r="H165" i="1"/>
  <c r="K165" i="1"/>
  <c r="L165" i="1"/>
  <c r="H166" i="1"/>
  <c r="K166" i="1"/>
  <c r="L166" i="1"/>
  <c r="H167" i="1"/>
  <c r="K167" i="1"/>
  <c r="L167" i="1"/>
  <c r="H168" i="1"/>
  <c r="K168" i="1"/>
  <c r="L168" i="1"/>
  <c r="H169" i="1"/>
  <c r="K169" i="1"/>
  <c r="L169" i="1"/>
  <c r="H170" i="1"/>
  <c r="K170" i="1"/>
  <c r="L170" i="1"/>
  <c r="H171" i="1"/>
  <c r="K171" i="1"/>
  <c r="L171" i="1"/>
  <c r="H172" i="1"/>
  <c r="K172" i="1"/>
  <c r="L172" i="1"/>
  <c r="H173" i="1"/>
  <c r="K173" i="1"/>
  <c r="L173" i="1"/>
  <c r="H174" i="1"/>
  <c r="K174" i="1"/>
  <c r="L174" i="1"/>
  <c r="H175" i="1"/>
  <c r="K175" i="1"/>
  <c r="L175" i="1"/>
  <c r="H176" i="1"/>
  <c r="K176" i="1"/>
  <c r="L176" i="1"/>
  <c r="H177" i="1"/>
  <c r="K177" i="1"/>
  <c r="L177" i="1"/>
  <c r="H178" i="1"/>
  <c r="K178" i="1"/>
  <c r="L178" i="1"/>
  <c r="H179" i="1"/>
  <c r="K179" i="1"/>
  <c r="L179" i="1"/>
  <c r="H180" i="1"/>
  <c r="K180" i="1"/>
  <c r="L180" i="1"/>
  <c r="H181" i="1"/>
  <c r="K181" i="1"/>
  <c r="L181" i="1"/>
  <c r="H182" i="1"/>
  <c r="K182" i="1"/>
  <c r="L182" i="1"/>
  <c r="H183" i="1"/>
  <c r="K183" i="1"/>
  <c r="L183" i="1"/>
  <c r="H184" i="1"/>
  <c r="K184" i="1"/>
  <c r="L184" i="1"/>
  <c r="H185" i="1"/>
  <c r="K185" i="1"/>
  <c r="L185" i="1"/>
  <c r="H186" i="1"/>
  <c r="K186" i="1"/>
  <c r="L186" i="1"/>
  <c r="H187" i="1"/>
  <c r="K187" i="1"/>
  <c r="L187" i="1"/>
  <c r="H188" i="1"/>
  <c r="K188" i="1"/>
  <c r="L188" i="1"/>
  <c r="H189" i="1"/>
  <c r="K189" i="1"/>
  <c r="L189" i="1"/>
  <c r="H190" i="1"/>
  <c r="K190" i="1"/>
  <c r="L190" i="1"/>
  <c r="H191" i="1"/>
  <c r="K191" i="1"/>
  <c r="L191" i="1"/>
  <c r="H192" i="1"/>
  <c r="K192" i="1"/>
  <c r="L192" i="1"/>
  <c r="H193" i="1"/>
  <c r="K193" i="1"/>
  <c r="L193" i="1"/>
  <c r="H194" i="1"/>
  <c r="K194" i="1"/>
  <c r="L194" i="1"/>
  <c r="H195" i="1"/>
  <c r="K195" i="1"/>
  <c r="L195" i="1"/>
  <c r="H196" i="1"/>
  <c r="K196" i="1"/>
  <c r="L196" i="1"/>
  <c r="H197" i="1"/>
  <c r="K197" i="1"/>
  <c r="L197" i="1"/>
  <c r="H198" i="1"/>
  <c r="K198" i="1"/>
  <c r="L198" i="1"/>
  <c r="H199" i="1"/>
  <c r="K199" i="1"/>
  <c r="L199" i="1"/>
  <c r="H200" i="1"/>
  <c r="K200" i="1"/>
  <c r="L200" i="1"/>
  <c r="H201" i="1"/>
  <c r="K201" i="1"/>
  <c r="L201" i="1"/>
  <c r="H202" i="1"/>
  <c r="K202" i="1"/>
  <c r="L202" i="1"/>
  <c r="H203" i="1"/>
  <c r="K203" i="1"/>
  <c r="L203" i="1"/>
  <c r="H204" i="1"/>
  <c r="K204" i="1"/>
  <c r="L204" i="1"/>
  <c r="H205" i="1"/>
  <c r="K205" i="1"/>
  <c r="L205" i="1"/>
  <c r="H206" i="1"/>
  <c r="K206" i="1"/>
  <c r="L206" i="1"/>
  <c r="H207" i="1"/>
  <c r="K207" i="1"/>
  <c r="L207" i="1"/>
  <c r="H208" i="1"/>
  <c r="K208" i="1"/>
  <c r="L208" i="1"/>
  <c r="H209" i="1"/>
  <c r="K209" i="1"/>
  <c r="L209" i="1"/>
  <c r="H210" i="1"/>
  <c r="K210" i="1"/>
  <c r="L210" i="1"/>
  <c r="H211" i="1"/>
  <c r="K211" i="1"/>
  <c r="L211" i="1"/>
  <c r="H212" i="1"/>
  <c r="K212" i="1"/>
  <c r="L212" i="1"/>
  <c r="H213" i="1"/>
  <c r="K213" i="1"/>
  <c r="L213" i="1"/>
  <c r="H214" i="1"/>
  <c r="K214" i="1"/>
  <c r="L214" i="1"/>
  <c r="H215" i="1"/>
  <c r="K215" i="1"/>
  <c r="L215" i="1"/>
  <c r="H216" i="1"/>
  <c r="K216" i="1"/>
  <c r="L216" i="1"/>
  <c r="H217" i="1"/>
  <c r="K217" i="1"/>
  <c r="L217" i="1"/>
  <c r="H218" i="1"/>
  <c r="K218" i="1"/>
  <c r="L218" i="1"/>
  <c r="H219" i="1"/>
  <c r="K219" i="1"/>
  <c r="L219" i="1"/>
  <c r="H220" i="1"/>
  <c r="K220" i="1"/>
  <c r="L220" i="1"/>
  <c r="H221" i="1"/>
  <c r="K221" i="1"/>
  <c r="L221" i="1"/>
  <c r="H222" i="1"/>
  <c r="K222" i="1"/>
  <c r="L222" i="1"/>
  <c r="H223" i="1"/>
  <c r="K223" i="1"/>
  <c r="L223" i="1"/>
  <c r="H224" i="1"/>
  <c r="K224" i="1"/>
  <c r="L224" i="1"/>
  <c r="H225" i="1"/>
  <c r="K225" i="1"/>
  <c r="L225" i="1"/>
  <c r="H226" i="1"/>
  <c r="K226" i="1"/>
  <c r="L226" i="1"/>
  <c r="H227" i="1"/>
  <c r="K227" i="1"/>
  <c r="L227" i="1"/>
  <c r="H228" i="1"/>
  <c r="K228" i="1"/>
  <c r="L228" i="1"/>
  <c r="H229" i="1"/>
  <c r="K229" i="1"/>
  <c r="L229" i="1"/>
  <c r="H230" i="1"/>
  <c r="K230" i="1"/>
  <c r="L230" i="1"/>
  <c r="H231" i="1"/>
  <c r="K231" i="1"/>
  <c r="L231" i="1"/>
  <c r="H232" i="1"/>
  <c r="K232" i="1"/>
  <c r="L232" i="1"/>
  <c r="H233" i="1"/>
  <c r="K233" i="1"/>
  <c r="L233" i="1"/>
  <c r="H234" i="1"/>
  <c r="K234" i="1"/>
  <c r="L234" i="1"/>
  <c r="H235" i="1"/>
  <c r="K235" i="1"/>
  <c r="L235" i="1"/>
  <c r="H236" i="1"/>
  <c r="K236" i="1"/>
  <c r="L236" i="1"/>
  <c r="H237" i="1"/>
  <c r="K237" i="1"/>
  <c r="L237" i="1"/>
  <c r="H238" i="1"/>
  <c r="K238" i="1"/>
  <c r="L238" i="1"/>
  <c r="H239" i="1"/>
  <c r="K239" i="1"/>
  <c r="L239" i="1"/>
  <c r="H240" i="1"/>
  <c r="K240" i="1"/>
  <c r="L240" i="1"/>
  <c r="H241" i="1"/>
  <c r="K241" i="1"/>
  <c r="L241" i="1"/>
  <c r="H242" i="1"/>
  <c r="K242" i="1"/>
  <c r="L242" i="1"/>
  <c r="H243" i="1"/>
  <c r="K243" i="1"/>
  <c r="L243" i="1"/>
  <c r="H244" i="1"/>
  <c r="K244" i="1"/>
  <c r="L244" i="1"/>
  <c r="H245" i="1"/>
  <c r="K245" i="1"/>
  <c r="L245" i="1"/>
  <c r="H246" i="1"/>
  <c r="K246" i="1"/>
  <c r="L246" i="1"/>
  <c r="H247" i="1"/>
  <c r="K247" i="1"/>
  <c r="L247" i="1"/>
  <c r="H248" i="1"/>
  <c r="K248" i="1"/>
  <c r="L248" i="1"/>
  <c r="H249" i="1"/>
  <c r="K249" i="1"/>
  <c r="L249" i="1"/>
  <c r="H250" i="1"/>
  <c r="K250" i="1"/>
  <c r="L250" i="1"/>
  <c r="H251" i="1"/>
  <c r="K251" i="1"/>
  <c r="L251" i="1"/>
  <c r="H252" i="1"/>
  <c r="K252" i="1"/>
  <c r="L252" i="1"/>
  <c r="H253" i="1"/>
  <c r="K253" i="1"/>
  <c r="L253" i="1"/>
  <c r="H254" i="1"/>
  <c r="K254" i="1"/>
  <c r="L254" i="1"/>
  <c r="H255" i="1"/>
  <c r="K255" i="1"/>
  <c r="L255" i="1"/>
  <c r="H256" i="1"/>
  <c r="K256" i="1"/>
  <c r="L256" i="1"/>
  <c r="H257" i="1"/>
  <c r="K257" i="1"/>
  <c r="L257" i="1"/>
  <c r="H258" i="1"/>
  <c r="K258" i="1"/>
  <c r="L258" i="1"/>
  <c r="H259" i="1"/>
  <c r="K259" i="1"/>
  <c r="L259" i="1"/>
  <c r="H260" i="1"/>
  <c r="K260" i="1"/>
  <c r="L260" i="1"/>
  <c r="H261" i="1"/>
  <c r="K261" i="1"/>
  <c r="L261" i="1"/>
  <c r="H262" i="1"/>
  <c r="K262" i="1"/>
  <c r="L262" i="1"/>
  <c r="H263" i="1"/>
  <c r="K263" i="1"/>
  <c r="L263" i="1"/>
  <c r="H264" i="1"/>
  <c r="K264" i="1"/>
  <c r="L264" i="1"/>
  <c r="H265" i="1"/>
  <c r="K265" i="1"/>
  <c r="L265" i="1"/>
  <c r="H266" i="1"/>
  <c r="K266" i="1"/>
  <c r="L266" i="1"/>
  <c r="H267" i="1"/>
  <c r="K267" i="1"/>
  <c r="L267" i="1"/>
  <c r="H268" i="1"/>
  <c r="K268" i="1"/>
  <c r="L268" i="1"/>
  <c r="H269" i="1"/>
  <c r="K269" i="1"/>
  <c r="L269" i="1"/>
  <c r="H270" i="1"/>
  <c r="K270" i="1"/>
  <c r="L270" i="1"/>
  <c r="H271" i="1"/>
  <c r="K271" i="1"/>
  <c r="L271" i="1"/>
  <c r="H272" i="1"/>
  <c r="K272" i="1"/>
  <c r="L272" i="1"/>
  <c r="H273" i="1"/>
  <c r="K273" i="1"/>
  <c r="L273" i="1"/>
  <c r="H274" i="1"/>
  <c r="K274" i="1"/>
  <c r="L274" i="1"/>
  <c r="H275" i="1"/>
  <c r="K275" i="1"/>
  <c r="L275" i="1"/>
  <c r="H276" i="1"/>
  <c r="K276" i="1"/>
  <c r="L276" i="1"/>
  <c r="H277" i="1"/>
  <c r="K277" i="1"/>
  <c r="L277" i="1"/>
  <c r="H278" i="1"/>
  <c r="K278" i="1"/>
  <c r="L278" i="1"/>
  <c r="H279" i="1"/>
  <c r="K279" i="1"/>
  <c r="L279" i="1"/>
  <c r="H280" i="1"/>
  <c r="K280" i="1"/>
  <c r="L280" i="1"/>
  <c r="H281" i="1"/>
  <c r="K281" i="1"/>
  <c r="L281" i="1"/>
  <c r="H282" i="1"/>
  <c r="K282" i="1"/>
  <c r="L282" i="1"/>
  <c r="H283" i="1"/>
  <c r="K283" i="1"/>
  <c r="L283" i="1"/>
  <c r="H284" i="1"/>
  <c r="K284" i="1"/>
  <c r="L284" i="1"/>
  <c r="H285" i="1"/>
  <c r="K285" i="1"/>
  <c r="L285" i="1"/>
  <c r="H286" i="1"/>
  <c r="K286" i="1"/>
  <c r="L286" i="1"/>
  <c r="H287" i="1"/>
  <c r="K287" i="1"/>
  <c r="L287" i="1"/>
  <c r="H288" i="1"/>
  <c r="K288" i="1"/>
  <c r="L288" i="1"/>
  <c r="H289" i="1"/>
  <c r="K289" i="1"/>
  <c r="L289" i="1"/>
  <c r="H290" i="1"/>
  <c r="K290" i="1"/>
  <c r="L290" i="1"/>
  <c r="H291" i="1"/>
  <c r="K291" i="1"/>
  <c r="L291" i="1"/>
  <c r="H292" i="1"/>
  <c r="K292" i="1"/>
  <c r="L292" i="1"/>
  <c r="H293" i="1"/>
  <c r="K293" i="1"/>
  <c r="L293" i="1"/>
  <c r="H294" i="1"/>
  <c r="K294" i="1"/>
  <c r="L294" i="1"/>
  <c r="H295" i="1"/>
  <c r="K295" i="1"/>
  <c r="L295" i="1"/>
  <c r="H296" i="1"/>
  <c r="K296" i="1"/>
  <c r="L296" i="1"/>
  <c r="H297" i="1"/>
  <c r="K297" i="1"/>
  <c r="L297" i="1"/>
  <c r="H298" i="1"/>
  <c r="K298" i="1"/>
  <c r="L298" i="1"/>
  <c r="H299" i="1"/>
  <c r="K299" i="1"/>
  <c r="L299" i="1"/>
  <c r="H300" i="1"/>
  <c r="K300" i="1"/>
  <c r="L300" i="1"/>
  <c r="H301" i="1"/>
  <c r="K301" i="1"/>
  <c r="L301" i="1"/>
  <c r="H302" i="1"/>
  <c r="K302" i="1"/>
  <c r="L302" i="1"/>
  <c r="H303" i="1"/>
  <c r="K303" i="1"/>
  <c r="L303" i="1"/>
  <c r="H304" i="1"/>
  <c r="K304" i="1"/>
  <c r="L304" i="1"/>
  <c r="H305" i="1"/>
  <c r="K305" i="1"/>
  <c r="L305" i="1"/>
  <c r="H306" i="1"/>
  <c r="K306" i="1"/>
  <c r="L306" i="1"/>
  <c r="H307" i="1"/>
  <c r="K307" i="1"/>
  <c r="L307" i="1"/>
  <c r="H308" i="1"/>
  <c r="K308" i="1"/>
  <c r="L308" i="1"/>
  <c r="H309" i="1"/>
  <c r="K309" i="1"/>
  <c r="L309" i="1"/>
  <c r="H310" i="1"/>
  <c r="K310" i="1"/>
  <c r="L310" i="1"/>
  <c r="H311" i="1"/>
  <c r="K311" i="1"/>
  <c r="L311" i="1"/>
  <c r="H312" i="1"/>
  <c r="K312" i="1"/>
  <c r="L312" i="1"/>
  <c r="H313" i="1"/>
  <c r="K313" i="1"/>
  <c r="L313" i="1"/>
  <c r="H314" i="1"/>
  <c r="K314" i="1"/>
  <c r="L314" i="1"/>
  <c r="H315" i="1"/>
  <c r="K315" i="1"/>
  <c r="L315" i="1"/>
  <c r="H316" i="1"/>
  <c r="K316" i="1"/>
  <c r="L316" i="1"/>
  <c r="H317" i="1"/>
  <c r="K317" i="1"/>
  <c r="L317" i="1"/>
  <c r="H318" i="1"/>
  <c r="K318" i="1"/>
  <c r="L318" i="1"/>
  <c r="H319" i="1"/>
  <c r="K319" i="1"/>
  <c r="L319" i="1"/>
  <c r="H320" i="1"/>
  <c r="K320" i="1"/>
  <c r="L320" i="1"/>
  <c r="H321" i="1"/>
  <c r="K321" i="1"/>
  <c r="L321" i="1"/>
  <c r="H322" i="1"/>
  <c r="K322" i="1"/>
  <c r="L322" i="1"/>
  <c r="H323" i="1"/>
  <c r="K323" i="1"/>
  <c r="L323" i="1"/>
  <c r="H324" i="1"/>
  <c r="K324" i="1"/>
  <c r="L324" i="1"/>
  <c r="H325" i="1"/>
  <c r="K325" i="1"/>
  <c r="L325" i="1"/>
  <c r="H326" i="1"/>
  <c r="K326" i="1"/>
  <c r="L326" i="1"/>
  <c r="H327" i="1"/>
  <c r="K327" i="1"/>
  <c r="L327" i="1"/>
  <c r="H328" i="1"/>
  <c r="K328" i="1"/>
  <c r="L328" i="1"/>
  <c r="H329" i="1"/>
  <c r="K329" i="1"/>
  <c r="L329" i="1"/>
  <c r="H330" i="1"/>
  <c r="K330" i="1"/>
  <c r="L330" i="1"/>
  <c r="H331" i="1"/>
  <c r="K331" i="1"/>
  <c r="L331" i="1"/>
  <c r="H332" i="1"/>
  <c r="K332" i="1"/>
  <c r="L332" i="1"/>
  <c r="H333" i="1"/>
  <c r="K333" i="1"/>
  <c r="L333" i="1"/>
  <c r="H334" i="1"/>
  <c r="K334" i="1"/>
  <c r="L334" i="1"/>
  <c r="H335" i="1"/>
  <c r="K335" i="1"/>
  <c r="L335" i="1"/>
  <c r="H336" i="1"/>
  <c r="K336" i="1"/>
  <c r="L336" i="1"/>
  <c r="H337" i="1"/>
  <c r="K337" i="1"/>
  <c r="L337" i="1"/>
  <c r="H338" i="1"/>
  <c r="K338" i="1"/>
  <c r="L338" i="1"/>
  <c r="H339" i="1"/>
  <c r="K339" i="1"/>
  <c r="L339" i="1"/>
  <c r="H340" i="1"/>
  <c r="K340" i="1"/>
  <c r="L340" i="1"/>
  <c r="H341" i="1"/>
  <c r="K341" i="1"/>
  <c r="L341" i="1"/>
  <c r="H342" i="1"/>
  <c r="K342" i="1"/>
  <c r="L342" i="1"/>
  <c r="H343" i="1"/>
  <c r="K343" i="1"/>
  <c r="L343" i="1"/>
  <c r="H344" i="1"/>
  <c r="K344" i="1"/>
  <c r="L344" i="1"/>
  <c r="H345" i="1"/>
  <c r="K345" i="1"/>
  <c r="L345" i="1"/>
  <c r="H346" i="1"/>
  <c r="K346" i="1"/>
  <c r="L346" i="1"/>
  <c r="H347" i="1"/>
  <c r="K347" i="1"/>
  <c r="L347" i="1"/>
  <c r="H348" i="1"/>
  <c r="K348" i="1"/>
  <c r="L348" i="1"/>
  <c r="H349" i="1"/>
  <c r="K349" i="1"/>
  <c r="L349" i="1"/>
  <c r="H350" i="1"/>
  <c r="K350" i="1"/>
  <c r="L350" i="1"/>
  <c r="H351" i="1"/>
  <c r="K351" i="1"/>
  <c r="L351" i="1"/>
  <c r="H352" i="1"/>
  <c r="K352" i="1"/>
  <c r="L352" i="1"/>
  <c r="H353" i="1"/>
  <c r="K353" i="1"/>
  <c r="L353" i="1"/>
  <c r="H354" i="1"/>
  <c r="K354" i="1"/>
  <c r="L354" i="1"/>
  <c r="H355" i="1"/>
  <c r="K355" i="1"/>
  <c r="L355" i="1"/>
  <c r="H356" i="1"/>
  <c r="K356" i="1"/>
  <c r="L356" i="1"/>
  <c r="H357" i="1"/>
  <c r="K357" i="1"/>
  <c r="L357" i="1"/>
  <c r="H358" i="1"/>
  <c r="K358" i="1"/>
  <c r="L358" i="1"/>
  <c r="H359" i="1"/>
  <c r="K359" i="1"/>
  <c r="L359" i="1"/>
  <c r="H360" i="1"/>
  <c r="K360" i="1"/>
  <c r="L360" i="1"/>
  <c r="H361" i="1"/>
  <c r="K361" i="1"/>
  <c r="L361" i="1"/>
  <c r="H362" i="1"/>
  <c r="K362" i="1"/>
  <c r="L362" i="1"/>
  <c r="H363" i="1"/>
  <c r="K363" i="1"/>
  <c r="L363" i="1"/>
  <c r="H364" i="1"/>
  <c r="K364" i="1"/>
  <c r="L364" i="1"/>
  <c r="H365" i="1"/>
  <c r="K365" i="1"/>
  <c r="L365" i="1"/>
  <c r="H366" i="1"/>
  <c r="K366" i="1"/>
  <c r="L366" i="1"/>
  <c r="H367" i="1"/>
  <c r="K367" i="1"/>
  <c r="L367" i="1"/>
  <c r="H368" i="1"/>
  <c r="K368" i="1"/>
  <c r="L368" i="1"/>
  <c r="H369" i="1"/>
  <c r="K369" i="1"/>
  <c r="L369" i="1"/>
  <c r="H370" i="1"/>
  <c r="K370" i="1"/>
  <c r="L370" i="1"/>
  <c r="H371" i="1"/>
  <c r="K371" i="1"/>
  <c r="L371" i="1"/>
  <c r="H372" i="1"/>
  <c r="K372" i="1"/>
  <c r="L372" i="1"/>
  <c r="H373" i="1"/>
  <c r="K373" i="1"/>
  <c r="L373" i="1"/>
  <c r="H374" i="1"/>
  <c r="K374" i="1"/>
  <c r="L374" i="1"/>
  <c r="H375" i="1"/>
  <c r="K375" i="1"/>
  <c r="L375" i="1"/>
  <c r="H376" i="1"/>
  <c r="K376" i="1"/>
  <c r="L376" i="1"/>
  <c r="H377" i="1"/>
  <c r="K377" i="1"/>
  <c r="L377" i="1"/>
  <c r="H378" i="1"/>
  <c r="K378" i="1"/>
  <c r="L378" i="1"/>
  <c r="H379" i="1"/>
  <c r="K379" i="1"/>
  <c r="L379" i="1"/>
  <c r="H380" i="1"/>
  <c r="K380" i="1"/>
  <c r="L380" i="1"/>
  <c r="H381" i="1"/>
  <c r="K381" i="1"/>
  <c r="L381" i="1"/>
  <c r="H382" i="1"/>
  <c r="K382" i="1"/>
  <c r="L382" i="1"/>
  <c r="H383" i="1"/>
  <c r="K383" i="1"/>
  <c r="L383" i="1"/>
  <c r="H384" i="1"/>
  <c r="K384" i="1"/>
  <c r="L384" i="1"/>
  <c r="H385" i="1"/>
  <c r="K385" i="1"/>
  <c r="L385" i="1"/>
  <c r="H386" i="1"/>
  <c r="K386" i="1"/>
  <c r="L386" i="1"/>
  <c r="H387" i="1"/>
  <c r="K387" i="1"/>
  <c r="L387" i="1"/>
  <c r="H388" i="1"/>
  <c r="K388" i="1"/>
  <c r="L388" i="1"/>
  <c r="H389" i="1"/>
  <c r="K389" i="1"/>
  <c r="L389" i="1"/>
  <c r="H390" i="1"/>
  <c r="K390" i="1"/>
  <c r="L390" i="1"/>
  <c r="H391" i="1"/>
  <c r="K391" i="1"/>
  <c r="L391" i="1"/>
  <c r="H392" i="1"/>
  <c r="K392" i="1"/>
  <c r="L392" i="1"/>
  <c r="H393" i="1"/>
  <c r="K393" i="1"/>
  <c r="L393" i="1"/>
  <c r="H394" i="1"/>
  <c r="K394" i="1"/>
  <c r="L394" i="1"/>
  <c r="H395" i="1"/>
  <c r="K395" i="1"/>
  <c r="L395" i="1"/>
  <c r="H396" i="1"/>
  <c r="K396" i="1"/>
  <c r="L396" i="1"/>
  <c r="H397" i="1"/>
  <c r="K397" i="1"/>
  <c r="L397" i="1"/>
  <c r="H398" i="1"/>
  <c r="K398" i="1"/>
  <c r="L398" i="1"/>
  <c r="H399" i="1"/>
  <c r="K399" i="1"/>
  <c r="L399" i="1"/>
  <c r="H400" i="1"/>
  <c r="K400" i="1"/>
  <c r="L400" i="1"/>
  <c r="H401" i="1"/>
  <c r="K401" i="1"/>
  <c r="L401" i="1"/>
  <c r="H402" i="1"/>
  <c r="K402" i="1"/>
  <c r="L402" i="1"/>
  <c r="H403" i="1"/>
  <c r="K403" i="1"/>
  <c r="L403" i="1"/>
  <c r="H404" i="1"/>
  <c r="K404" i="1"/>
  <c r="L404" i="1"/>
  <c r="H405" i="1"/>
  <c r="K405" i="1"/>
  <c r="L405" i="1"/>
  <c r="H406" i="1"/>
  <c r="K406" i="1"/>
  <c r="L406" i="1"/>
  <c r="H407" i="1"/>
  <c r="K407" i="1"/>
  <c r="L407" i="1"/>
  <c r="H408" i="1"/>
  <c r="K408" i="1"/>
  <c r="L408" i="1"/>
  <c r="H409" i="1"/>
  <c r="K409" i="1"/>
  <c r="L409" i="1"/>
  <c r="H410" i="1"/>
  <c r="K410" i="1"/>
  <c r="L410" i="1"/>
  <c r="H411" i="1"/>
  <c r="K411" i="1"/>
  <c r="L411" i="1"/>
  <c r="H412" i="1"/>
  <c r="K412" i="1"/>
  <c r="L412" i="1"/>
  <c r="H413" i="1"/>
  <c r="K413" i="1"/>
  <c r="L413" i="1"/>
  <c r="H414" i="1"/>
  <c r="K414" i="1"/>
  <c r="L414" i="1"/>
  <c r="H415" i="1"/>
  <c r="K415" i="1"/>
  <c r="L415" i="1"/>
  <c r="H416" i="1"/>
  <c r="K416" i="1"/>
  <c r="L416" i="1"/>
  <c r="H417" i="1"/>
  <c r="K417" i="1"/>
  <c r="L417" i="1"/>
  <c r="H418" i="1"/>
  <c r="K418" i="1"/>
  <c r="L418" i="1"/>
  <c r="H419" i="1"/>
  <c r="K419" i="1"/>
  <c r="L419" i="1"/>
  <c r="H420" i="1"/>
  <c r="K420" i="1"/>
  <c r="L420" i="1"/>
  <c r="H421" i="1"/>
  <c r="K421" i="1"/>
  <c r="L421" i="1"/>
  <c r="H422" i="1"/>
  <c r="K422" i="1"/>
  <c r="L422" i="1"/>
  <c r="H423" i="1"/>
  <c r="K423" i="1"/>
  <c r="L423" i="1"/>
  <c r="H424" i="1"/>
  <c r="K424" i="1"/>
  <c r="L424" i="1"/>
  <c r="H425" i="1"/>
  <c r="K425" i="1"/>
  <c r="L425" i="1"/>
  <c r="H426" i="1"/>
  <c r="K426" i="1"/>
  <c r="L426" i="1"/>
  <c r="H427" i="1"/>
  <c r="K427" i="1"/>
  <c r="L427" i="1"/>
  <c r="H428" i="1"/>
  <c r="K428" i="1"/>
  <c r="L428" i="1"/>
  <c r="H429" i="1"/>
  <c r="K429" i="1"/>
  <c r="L429" i="1"/>
  <c r="H430" i="1"/>
  <c r="K430" i="1"/>
  <c r="L430" i="1"/>
  <c r="H431" i="1"/>
  <c r="K431" i="1"/>
  <c r="L431" i="1"/>
  <c r="H432" i="1"/>
  <c r="K432" i="1"/>
  <c r="L432" i="1"/>
  <c r="H433" i="1"/>
  <c r="K433" i="1"/>
  <c r="L433" i="1"/>
  <c r="H434" i="1"/>
  <c r="K434" i="1"/>
  <c r="L434" i="1"/>
  <c r="H435" i="1"/>
  <c r="K435" i="1"/>
  <c r="L435" i="1"/>
  <c r="H436" i="1"/>
  <c r="K436" i="1"/>
  <c r="L436" i="1"/>
  <c r="H437" i="1"/>
  <c r="K437" i="1"/>
  <c r="L437" i="1"/>
  <c r="H438" i="1"/>
  <c r="K438" i="1"/>
  <c r="L438" i="1"/>
  <c r="H439" i="1"/>
  <c r="K439" i="1"/>
  <c r="L439" i="1"/>
  <c r="H440" i="1"/>
  <c r="K440" i="1"/>
  <c r="L440" i="1"/>
  <c r="H441" i="1"/>
  <c r="K441" i="1"/>
  <c r="L441" i="1"/>
  <c r="H442" i="1"/>
  <c r="K442" i="1"/>
  <c r="L442" i="1"/>
  <c r="H443" i="1"/>
  <c r="K443" i="1"/>
  <c r="L443" i="1"/>
  <c r="H444" i="1"/>
  <c r="K444" i="1"/>
  <c r="L444" i="1"/>
  <c r="H445" i="1"/>
  <c r="K445" i="1"/>
  <c r="L445" i="1"/>
  <c r="H446" i="1"/>
  <c r="K446" i="1"/>
  <c r="L446" i="1"/>
  <c r="H447" i="1"/>
  <c r="K447" i="1"/>
  <c r="L447" i="1"/>
  <c r="H448" i="1"/>
  <c r="K448" i="1"/>
  <c r="L448" i="1"/>
  <c r="H449" i="1"/>
  <c r="K449" i="1"/>
  <c r="L449" i="1"/>
  <c r="H450" i="1"/>
  <c r="K450" i="1"/>
  <c r="L450" i="1"/>
  <c r="H451" i="1"/>
  <c r="K451" i="1"/>
  <c r="L451" i="1"/>
  <c r="H452" i="1"/>
  <c r="K452" i="1"/>
  <c r="L452" i="1"/>
  <c r="H453" i="1"/>
  <c r="K453" i="1"/>
  <c r="L453" i="1"/>
  <c r="H454" i="1"/>
  <c r="K454" i="1"/>
  <c r="L454" i="1"/>
  <c r="H455" i="1"/>
  <c r="K455" i="1"/>
  <c r="L455" i="1"/>
  <c r="H456" i="1"/>
  <c r="K456" i="1"/>
  <c r="L456" i="1"/>
  <c r="H457" i="1"/>
  <c r="K457" i="1"/>
  <c r="L457" i="1"/>
  <c r="H458" i="1"/>
  <c r="K458" i="1"/>
  <c r="L458" i="1"/>
  <c r="H459" i="1"/>
  <c r="K459" i="1"/>
  <c r="L459" i="1"/>
  <c r="H460" i="1"/>
  <c r="K460" i="1"/>
  <c r="L460" i="1"/>
  <c r="H461" i="1"/>
  <c r="K461" i="1"/>
  <c r="L461" i="1"/>
  <c r="H462" i="1"/>
  <c r="K462" i="1"/>
  <c r="L462" i="1"/>
  <c r="H463" i="1"/>
  <c r="K463" i="1"/>
  <c r="L463" i="1"/>
  <c r="H464" i="1"/>
  <c r="K464" i="1"/>
  <c r="L464" i="1"/>
  <c r="H465" i="1"/>
  <c r="K465" i="1"/>
  <c r="L465" i="1"/>
  <c r="H466" i="1"/>
  <c r="K466" i="1"/>
  <c r="L466" i="1"/>
  <c r="H467" i="1"/>
  <c r="K467" i="1"/>
  <c r="L467" i="1"/>
  <c r="H468" i="1"/>
  <c r="K468" i="1"/>
  <c r="L468" i="1"/>
  <c r="H469" i="1"/>
  <c r="K469" i="1"/>
  <c r="L469" i="1"/>
  <c r="H470" i="1"/>
  <c r="K470" i="1"/>
  <c r="L470" i="1"/>
  <c r="H471" i="1"/>
  <c r="K471" i="1"/>
  <c r="L471" i="1"/>
  <c r="H472" i="1"/>
  <c r="K472" i="1"/>
  <c r="L472" i="1"/>
  <c r="H473" i="1"/>
  <c r="K473" i="1"/>
  <c r="L473" i="1"/>
  <c r="H474" i="1"/>
  <c r="K474" i="1"/>
  <c r="L474" i="1"/>
  <c r="H475" i="1"/>
  <c r="K475" i="1"/>
  <c r="L475" i="1"/>
  <c r="H476" i="1"/>
  <c r="K476" i="1"/>
  <c r="L476" i="1"/>
  <c r="H477" i="1"/>
  <c r="K477" i="1"/>
  <c r="L477" i="1"/>
  <c r="H478" i="1"/>
  <c r="K478" i="1"/>
  <c r="L478" i="1"/>
  <c r="H479" i="1"/>
  <c r="K479" i="1"/>
  <c r="L479" i="1"/>
  <c r="H480" i="1"/>
  <c r="K480" i="1"/>
  <c r="L480" i="1"/>
  <c r="H481" i="1"/>
  <c r="K481" i="1"/>
  <c r="L481" i="1"/>
  <c r="H482" i="1"/>
  <c r="K482" i="1"/>
  <c r="L482" i="1"/>
  <c r="H483" i="1"/>
  <c r="K483" i="1"/>
  <c r="L483" i="1"/>
  <c r="H484" i="1"/>
  <c r="K484" i="1"/>
  <c r="L484" i="1"/>
  <c r="H485" i="1"/>
  <c r="K485" i="1"/>
  <c r="L485" i="1"/>
  <c r="H486" i="1"/>
  <c r="K486" i="1"/>
  <c r="L486" i="1"/>
  <c r="H487" i="1"/>
  <c r="K487" i="1"/>
  <c r="L487" i="1"/>
  <c r="H488" i="1"/>
  <c r="K488" i="1"/>
  <c r="L488" i="1"/>
  <c r="H489" i="1"/>
  <c r="K489" i="1"/>
  <c r="L489" i="1"/>
  <c r="H490" i="1"/>
  <c r="K490" i="1"/>
  <c r="L490" i="1"/>
  <c r="H491" i="1"/>
  <c r="K491" i="1"/>
  <c r="L491" i="1"/>
  <c r="H492" i="1"/>
  <c r="K492" i="1"/>
  <c r="L492" i="1"/>
  <c r="H493" i="1"/>
  <c r="K493" i="1"/>
  <c r="L493" i="1"/>
  <c r="H494" i="1"/>
  <c r="K494" i="1"/>
  <c r="L494" i="1"/>
  <c r="H495" i="1"/>
  <c r="K495" i="1"/>
  <c r="L495" i="1"/>
  <c r="H496" i="1"/>
  <c r="K496" i="1"/>
  <c r="L496" i="1"/>
  <c r="H497" i="1"/>
  <c r="K497" i="1"/>
  <c r="L497" i="1"/>
  <c r="H498" i="1"/>
  <c r="K498" i="1"/>
  <c r="L498" i="1"/>
  <c r="H499" i="1"/>
  <c r="K499" i="1"/>
  <c r="L499" i="1"/>
  <c r="H500" i="1"/>
  <c r="K500" i="1"/>
  <c r="L500" i="1"/>
  <c r="H501" i="1"/>
  <c r="K501" i="1"/>
  <c r="L501" i="1"/>
  <c r="H502" i="1"/>
  <c r="K502" i="1"/>
  <c r="L502" i="1"/>
  <c r="H503" i="1"/>
  <c r="K503" i="1"/>
  <c r="L503" i="1"/>
  <c r="H504" i="1"/>
  <c r="K504" i="1"/>
  <c r="L504" i="1"/>
  <c r="H505" i="1"/>
  <c r="K505" i="1"/>
  <c r="L505" i="1"/>
  <c r="H506" i="1"/>
  <c r="K506" i="1"/>
  <c r="L506" i="1"/>
  <c r="H507" i="1"/>
  <c r="K507" i="1"/>
  <c r="L507" i="1"/>
  <c r="H508" i="1"/>
  <c r="K508" i="1"/>
  <c r="L508" i="1"/>
  <c r="H509" i="1"/>
  <c r="K509" i="1"/>
  <c r="L509" i="1"/>
  <c r="H510" i="1"/>
  <c r="K510" i="1"/>
  <c r="L510" i="1"/>
  <c r="H511" i="1"/>
  <c r="K511" i="1"/>
  <c r="L511" i="1"/>
  <c r="H512" i="1"/>
  <c r="K512" i="1"/>
  <c r="L512" i="1"/>
  <c r="H513" i="1"/>
  <c r="K513" i="1"/>
  <c r="L513" i="1"/>
  <c r="H514" i="1"/>
  <c r="K514" i="1"/>
  <c r="L514" i="1"/>
  <c r="H515" i="1"/>
  <c r="K515" i="1"/>
  <c r="L515" i="1"/>
  <c r="H516" i="1"/>
  <c r="K516" i="1"/>
  <c r="L516" i="1"/>
  <c r="H517" i="1"/>
  <c r="K517" i="1"/>
  <c r="L517" i="1"/>
  <c r="H518" i="1"/>
  <c r="K518" i="1"/>
  <c r="L518" i="1"/>
  <c r="H519" i="1"/>
  <c r="K519" i="1"/>
  <c r="L519" i="1"/>
  <c r="H520" i="1"/>
  <c r="K520" i="1"/>
  <c r="L520" i="1"/>
  <c r="H521" i="1"/>
  <c r="K521" i="1"/>
  <c r="L521" i="1"/>
  <c r="H522" i="1"/>
  <c r="K522" i="1"/>
  <c r="L522" i="1"/>
  <c r="H523" i="1"/>
  <c r="K523" i="1"/>
  <c r="L523" i="1"/>
  <c r="H524" i="1"/>
  <c r="K524" i="1"/>
  <c r="L524" i="1"/>
  <c r="H525" i="1"/>
  <c r="K525" i="1"/>
  <c r="L525" i="1"/>
  <c r="H526" i="1"/>
  <c r="K526" i="1"/>
  <c r="L526" i="1"/>
  <c r="H527" i="1"/>
  <c r="K527" i="1"/>
  <c r="L527" i="1"/>
  <c r="H528" i="1"/>
  <c r="K528" i="1"/>
  <c r="L528" i="1"/>
  <c r="H529" i="1"/>
  <c r="K529" i="1"/>
  <c r="L529" i="1"/>
  <c r="H530" i="1"/>
  <c r="K530" i="1"/>
  <c r="L530" i="1"/>
  <c r="H531" i="1"/>
  <c r="K531" i="1"/>
  <c r="L531" i="1"/>
  <c r="H532" i="1"/>
  <c r="K532" i="1"/>
  <c r="L532" i="1"/>
  <c r="H533" i="1"/>
  <c r="K533" i="1"/>
  <c r="L533" i="1"/>
  <c r="H534" i="1"/>
  <c r="K534" i="1"/>
  <c r="L534" i="1"/>
  <c r="H535" i="1"/>
  <c r="K535" i="1"/>
  <c r="L535" i="1"/>
  <c r="H536" i="1"/>
  <c r="K536" i="1"/>
  <c r="L536" i="1"/>
  <c r="H537" i="1"/>
  <c r="K537" i="1"/>
  <c r="L537" i="1"/>
  <c r="H538" i="1"/>
  <c r="K538" i="1"/>
  <c r="L538" i="1"/>
  <c r="H539" i="1"/>
  <c r="K539" i="1"/>
  <c r="L539" i="1"/>
  <c r="H540" i="1"/>
  <c r="K540" i="1"/>
  <c r="L540" i="1"/>
  <c r="H541" i="1"/>
  <c r="K541" i="1"/>
  <c r="L541" i="1"/>
  <c r="H542" i="1"/>
  <c r="K542" i="1"/>
  <c r="L542" i="1"/>
  <c r="H543" i="1"/>
  <c r="K543" i="1"/>
  <c r="L543" i="1"/>
  <c r="H544" i="1"/>
  <c r="K544" i="1"/>
  <c r="L544" i="1"/>
  <c r="H545" i="1"/>
  <c r="K545" i="1"/>
  <c r="L545" i="1"/>
  <c r="H546" i="1"/>
  <c r="K546" i="1"/>
  <c r="L546" i="1"/>
  <c r="H547" i="1"/>
  <c r="K547" i="1"/>
  <c r="L547" i="1"/>
  <c r="H548" i="1"/>
  <c r="K548" i="1"/>
  <c r="L548" i="1"/>
  <c r="H549" i="1"/>
  <c r="K549" i="1"/>
  <c r="L549" i="1"/>
  <c r="H550" i="1"/>
  <c r="K550" i="1"/>
  <c r="L550" i="1"/>
  <c r="H551" i="1"/>
  <c r="K551" i="1"/>
  <c r="L551" i="1"/>
  <c r="H552" i="1"/>
  <c r="K552" i="1"/>
  <c r="L552" i="1"/>
  <c r="H553" i="1"/>
  <c r="K553" i="1"/>
  <c r="L553" i="1"/>
  <c r="H554" i="1"/>
  <c r="K554" i="1"/>
  <c r="L554" i="1"/>
  <c r="H555" i="1"/>
  <c r="K555" i="1"/>
  <c r="L555" i="1"/>
  <c r="H556" i="1"/>
  <c r="K556" i="1"/>
  <c r="L556" i="1"/>
  <c r="H557" i="1"/>
  <c r="K557" i="1"/>
  <c r="L557" i="1"/>
  <c r="H558" i="1"/>
  <c r="K558" i="1"/>
  <c r="L558" i="1"/>
  <c r="H559" i="1"/>
  <c r="K559" i="1"/>
  <c r="L559" i="1"/>
  <c r="H560" i="1"/>
  <c r="K560" i="1"/>
  <c r="L560" i="1"/>
  <c r="H561" i="1"/>
  <c r="K561" i="1"/>
  <c r="L561" i="1"/>
  <c r="H562" i="1"/>
  <c r="K562" i="1"/>
  <c r="L562" i="1"/>
  <c r="H563" i="1"/>
  <c r="K563" i="1"/>
  <c r="L563" i="1"/>
  <c r="H564" i="1"/>
  <c r="K564" i="1"/>
  <c r="L564" i="1"/>
  <c r="H565" i="1"/>
  <c r="K565" i="1"/>
  <c r="L565" i="1"/>
  <c r="H566" i="1"/>
  <c r="K566" i="1"/>
  <c r="L566" i="1"/>
  <c r="H567" i="1"/>
  <c r="K567" i="1"/>
  <c r="L567" i="1"/>
  <c r="H568" i="1"/>
  <c r="K568" i="1"/>
  <c r="L568" i="1"/>
  <c r="H569" i="1"/>
  <c r="K569" i="1"/>
  <c r="L569" i="1"/>
  <c r="H570" i="1"/>
  <c r="K570" i="1"/>
  <c r="L570" i="1"/>
  <c r="H571" i="1"/>
  <c r="K571" i="1"/>
  <c r="L571" i="1"/>
  <c r="H572" i="1"/>
  <c r="K572" i="1"/>
  <c r="L572" i="1"/>
  <c r="H573" i="1"/>
  <c r="K573" i="1"/>
  <c r="L573" i="1"/>
  <c r="H574" i="1"/>
  <c r="K574" i="1"/>
  <c r="L574" i="1"/>
  <c r="H575" i="1"/>
  <c r="K575" i="1"/>
  <c r="L575" i="1"/>
  <c r="H576" i="1"/>
  <c r="K576" i="1"/>
  <c r="L576" i="1"/>
  <c r="H577" i="1"/>
  <c r="K577" i="1"/>
  <c r="L577" i="1"/>
  <c r="H578" i="1"/>
  <c r="K578" i="1"/>
  <c r="L578" i="1"/>
  <c r="H579" i="1"/>
  <c r="K579" i="1"/>
  <c r="L579" i="1"/>
  <c r="H580" i="1"/>
  <c r="K580" i="1"/>
  <c r="L580" i="1"/>
  <c r="H581" i="1"/>
  <c r="K581" i="1"/>
  <c r="L581" i="1"/>
  <c r="H582" i="1"/>
  <c r="K582" i="1"/>
  <c r="L582" i="1"/>
  <c r="H583" i="1"/>
  <c r="K583" i="1"/>
  <c r="L583" i="1"/>
  <c r="H584" i="1"/>
  <c r="K584" i="1"/>
  <c r="L584" i="1"/>
  <c r="H585" i="1"/>
  <c r="K585" i="1"/>
  <c r="L585" i="1"/>
  <c r="H586" i="1"/>
  <c r="K586" i="1"/>
  <c r="L586" i="1"/>
  <c r="H587" i="1"/>
  <c r="K587" i="1"/>
  <c r="L587" i="1"/>
  <c r="H588" i="1"/>
  <c r="K588" i="1"/>
  <c r="L588" i="1"/>
  <c r="H589" i="1"/>
  <c r="K589" i="1"/>
  <c r="L589" i="1"/>
  <c r="H590" i="1"/>
  <c r="K590" i="1"/>
  <c r="L590" i="1"/>
  <c r="H591" i="1"/>
  <c r="K591" i="1"/>
  <c r="L591" i="1"/>
  <c r="H592" i="1"/>
  <c r="K592" i="1"/>
  <c r="L592" i="1"/>
  <c r="H593" i="1"/>
  <c r="K593" i="1"/>
  <c r="L593" i="1"/>
  <c r="H594" i="1"/>
  <c r="K594" i="1"/>
  <c r="L594" i="1"/>
  <c r="H595" i="1"/>
  <c r="K595" i="1"/>
  <c r="L595" i="1"/>
  <c r="H596" i="1"/>
  <c r="K596" i="1"/>
  <c r="L596" i="1"/>
  <c r="H597" i="1"/>
  <c r="K597" i="1"/>
  <c r="L597" i="1"/>
  <c r="H598" i="1"/>
  <c r="K598" i="1"/>
  <c r="L598" i="1"/>
  <c r="H599" i="1"/>
  <c r="K599" i="1"/>
  <c r="L599" i="1"/>
  <c r="H600" i="1"/>
  <c r="K600" i="1"/>
  <c r="L600" i="1"/>
  <c r="H601" i="1"/>
  <c r="K601" i="1"/>
  <c r="L601" i="1"/>
  <c r="H602" i="1"/>
  <c r="K602" i="1"/>
  <c r="L602" i="1"/>
  <c r="H603" i="1"/>
  <c r="K603" i="1"/>
  <c r="L603" i="1"/>
  <c r="H604" i="1"/>
  <c r="K604" i="1"/>
  <c r="L604" i="1"/>
  <c r="H605" i="1"/>
  <c r="K605" i="1"/>
  <c r="L605" i="1"/>
  <c r="H606" i="1"/>
  <c r="K606" i="1"/>
  <c r="L606" i="1"/>
  <c r="H607" i="1"/>
  <c r="K607" i="1"/>
  <c r="L607" i="1"/>
  <c r="H608" i="1"/>
  <c r="K608" i="1"/>
  <c r="L608" i="1"/>
  <c r="H609" i="1"/>
  <c r="K609" i="1"/>
  <c r="L609" i="1"/>
  <c r="H610" i="1"/>
  <c r="K610" i="1"/>
  <c r="L610" i="1"/>
  <c r="H611" i="1"/>
  <c r="K611" i="1"/>
  <c r="L611" i="1"/>
  <c r="H612" i="1"/>
  <c r="K612" i="1"/>
  <c r="L612" i="1"/>
  <c r="H613" i="1"/>
  <c r="K613" i="1"/>
  <c r="L613" i="1"/>
  <c r="H614" i="1"/>
  <c r="K614" i="1"/>
  <c r="L614" i="1"/>
  <c r="H615" i="1"/>
  <c r="K615" i="1"/>
  <c r="L615" i="1"/>
  <c r="H616" i="1"/>
  <c r="K616" i="1"/>
  <c r="L616" i="1"/>
  <c r="H617" i="1"/>
  <c r="K617" i="1"/>
  <c r="L617" i="1"/>
  <c r="H618" i="1"/>
  <c r="K618" i="1"/>
  <c r="L618" i="1"/>
  <c r="H619" i="1"/>
  <c r="K619" i="1"/>
  <c r="L619" i="1"/>
  <c r="H620" i="1"/>
  <c r="K620" i="1"/>
  <c r="L620" i="1"/>
  <c r="H621" i="1"/>
  <c r="K621" i="1"/>
  <c r="L621" i="1"/>
  <c r="H622" i="1"/>
  <c r="K622" i="1"/>
  <c r="L622" i="1"/>
  <c r="H623" i="1"/>
  <c r="K623" i="1"/>
  <c r="L623" i="1"/>
  <c r="H624" i="1"/>
  <c r="K624" i="1"/>
  <c r="L624" i="1"/>
  <c r="H625" i="1"/>
  <c r="K625" i="1"/>
  <c r="L625" i="1"/>
  <c r="H626" i="1"/>
  <c r="K626" i="1"/>
  <c r="L626" i="1"/>
  <c r="H627" i="1"/>
  <c r="K627" i="1"/>
  <c r="L627" i="1"/>
  <c r="H628" i="1"/>
  <c r="K628" i="1"/>
  <c r="L628" i="1"/>
  <c r="H629" i="1"/>
  <c r="K629" i="1"/>
  <c r="L629" i="1"/>
  <c r="H630" i="1"/>
  <c r="K630" i="1"/>
  <c r="L630" i="1"/>
  <c r="H631" i="1"/>
  <c r="K631" i="1"/>
  <c r="L631" i="1"/>
  <c r="H632" i="1"/>
  <c r="K632" i="1"/>
  <c r="L632" i="1"/>
  <c r="H633" i="1"/>
  <c r="K633" i="1"/>
  <c r="L633" i="1"/>
  <c r="H634" i="1"/>
  <c r="K634" i="1"/>
  <c r="L634" i="1"/>
  <c r="H635" i="1"/>
  <c r="K635" i="1"/>
  <c r="L635" i="1"/>
  <c r="H636" i="1"/>
  <c r="K636" i="1"/>
  <c r="L636" i="1"/>
  <c r="H637" i="1"/>
  <c r="K637" i="1"/>
  <c r="L637" i="1"/>
  <c r="H638" i="1"/>
  <c r="K638" i="1"/>
  <c r="L638" i="1"/>
  <c r="H639" i="1"/>
  <c r="K639" i="1"/>
  <c r="L639" i="1"/>
  <c r="H640" i="1"/>
  <c r="K640" i="1"/>
  <c r="L640" i="1"/>
  <c r="H641" i="1"/>
  <c r="K641" i="1"/>
  <c r="L641" i="1"/>
  <c r="H642" i="1"/>
  <c r="K642" i="1"/>
  <c r="L642" i="1"/>
  <c r="H643" i="1"/>
  <c r="K643" i="1"/>
  <c r="L643" i="1"/>
  <c r="H644" i="1"/>
  <c r="K644" i="1"/>
  <c r="L644" i="1"/>
  <c r="H645" i="1"/>
  <c r="K645" i="1"/>
  <c r="L645" i="1"/>
  <c r="H646" i="1"/>
  <c r="K646" i="1"/>
  <c r="L646" i="1"/>
  <c r="H647" i="1"/>
  <c r="K647" i="1"/>
  <c r="L647" i="1"/>
  <c r="H648" i="1"/>
  <c r="K648" i="1"/>
  <c r="L648" i="1"/>
  <c r="H649" i="1"/>
  <c r="K649" i="1"/>
  <c r="L649" i="1"/>
  <c r="H650" i="1"/>
  <c r="K650" i="1"/>
  <c r="L650" i="1"/>
  <c r="H651" i="1"/>
  <c r="K651" i="1"/>
  <c r="L651" i="1"/>
  <c r="H652" i="1"/>
  <c r="K652" i="1"/>
  <c r="L652" i="1"/>
  <c r="H653" i="1"/>
  <c r="K653" i="1"/>
  <c r="L653" i="1"/>
  <c r="H654" i="1"/>
  <c r="K654" i="1"/>
  <c r="L654" i="1"/>
  <c r="H655" i="1"/>
  <c r="K655" i="1"/>
  <c r="L655" i="1"/>
  <c r="H656" i="1"/>
  <c r="K656" i="1"/>
  <c r="L656" i="1"/>
  <c r="H657" i="1"/>
  <c r="K657" i="1"/>
  <c r="L657" i="1"/>
  <c r="H658" i="1"/>
  <c r="K658" i="1"/>
  <c r="L658" i="1"/>
  <c r="H659" i="1"/>
  <c r="K659" i="1"/>
  <c r="L659" i="1"/>
  <c r="H660" i="1"/>
  <c r="K660" i="1"/>
  <c r="L660" i="1"/>
  <c r="H661" i="1"/>
  <c r="K661" i="1"/>
  <c r="L661" i="1"/>
  <c r="H662" i="1"/>
  <c r="K662" i="1"/>
  <c r="L662" i="1"/>
  <c r="H663" i="1"/>
  <c r="K663" i="1"/>
  <c r="L663" i="1"/>
  <c r="H664" i="1"/>
  <c r="K664" i="1"/>
  <c r="L664" i="1"/>
  <c r="H665" i="1"/>
  <c r="K665" i="1"/>
  <c r="L665" i="1"/>
  <c r="H666" i="1"/>
  <c r="K666" i="1"/>
  <c r="L666" i="1"/>
  <c r="H667" i="1"/>
  <c r="K667" i="1"/>
  <c r="L667" i="1"/>
  <c r="H668" i="1"/>
  <c r="K668" i="1"/>
  <c r="L668" i="1"/>
  <c r="H669" i="1"/>
  <c r="K669" i="1"/>
  <c r="L669" i="1"/>
  <c r="H670" i="1"/>
  <c r="K670" i="1"/>
  <c r="L670" i="1"/>
  <c r="H671" i="1"/>
  <c r="K671" i="1"/>
  <c r="L671" i="1"/>
  <c r="H672" i="1"/>
  <c r="K672" i="1"/>
  <c r="L672" i="1"/>
  <c r="H673" i="1"/>
  <c r="K673" i="1"/>
  <c r="L673" i="1"/>
  <c r="H674" i="1"/>
  <c r="K674" i="1"/>
  <c r="L674" i="1"/>
  <c r="H675" i="1"/>
  <c r="K675" i="1"/>
  <c r="L675" i="1"/>
  <c r="H676" i="1"/>
  <c r="K676" i="1"/>
  <c r="L676" i="1"/>
  <c r="H677" i="1"/>
  <c r="K677" i="1"/>
  <c r="L677" i="1"/>
  <c r="H678" i="1"/>
  <c r="K678" i="1"/>
  <c r="L678" i="1"/>
  <c r="H679" i="1"/>
  <c r="K679" i="1"/>
  <c r="L679" i="1"/>
  <c r="H680" i="1"/>
  <c r="K680" i="1"/>
  <c r="L680" i="1"/>
  <c r="H681" i="1"/>
  <c r="K681" i="1"/>
  <c r="L681" i="1"/>
  <c r="H682" i="1"/>
  <c r="K682" i="1"/>
  <c r="L682" i="1"/>
  <c r="H683" i="1"/>
  <c r="K683" i="1"/>
  <c r="L683" i="1"/>
  <c r="H684" i="1"/>
  <c r="K684" i="1"/>
  <c r="L684" i="1"/>
  <c r="H685" i="1"/>
  <c r="K685" i="1"/>
  <c r="L685" i="1"/>
  <c r="H686" i="1"/>
  <c r="K686" i="1"/>
  <c r="L686" i="1"/>
  <c r="H687" i="1"/>
  <c r="K687" i="1"/>
  <c r="L687" i="1"/>
  <c r="H688" i="1"/>
  <c r="K688" i="1"/>
  <c r="L688" i="1"/>
  <c r="H689" i="1"/>
  <c r="K689" i="1"/>
  <c r="L689" i="1"/>
  <c r="H690" i="1"/>
  <c r="K690" i="1"/>
  <c r="L690" i="1"/>
  <c r="H691" i="1"/>
  <c r="K691" i="1"/>
  <c r="L691" i="1"/>
  <c r="H692" i="1"/>
  <c r="K692" i="1"/>
  <c r="L692" i="1"/>
  <c r="H693" i="1"/>
  <c r="K693" i="1"/>
  <c r="L693" i="1"/>
  <c r="H694" i="1"/>
  <c r="K694" i="1"/>
  <c r="L694" i="1"/>
  <c r="H695" i="1"/>
  <c r="K695" i="1"/>
  <c r="L695" i="1"/>
  <c r="H696" i="1"/>
  <c r="K696" i="1"/>
  <c r="L696" i="1"/>
  <c r="H697" i="1"/>
  <c r="K697" i="1"/>
  <c r="L697" i="1"/>
  <c r="H698" i="1"/>
  <c r="K698" i="1"/>
  <c r="L698" i="1"/>
  <c r="H699" i="1"/>
  <c r="K699" i="1"/>
  <c r="L699" i="1"/>
  <c r="H700" i="1"/>
  <c r="K700" i="1"/>
  <c r="L700" i="1"/>
  <c r="H701" i="1"/>
  <c r="K701" i="1"/>
  <c r="L701" i="1"/>
  <c r="H702" i="1"/>
  <c r="K702" i="1"/>
  <c r="L702" i="1"/>
  <c r="H703" i="1"/>
  <c r="K703" i="1"/>
  <c r="L703" i="1"/>
  <c r="H704" i="1"/>
  <c r="K704" i="1"/>
  <c r="L704" i="1"/>
  <c r="H705" i="1"/>
  <c r="K705" i="1"/>
  <c r="L705" i="1"/>
  <c r="H706" i="1"/>
  <c r="K706" i="1"/>
  <c r="L706" i="1"/>
  <c r="H707" i="1"/>
  <c r="K707" i="1"/>
  <c r="L707" i="1"/>
  <c r="H708" i="1"/>
  <c r="K708" i="1"/>
  <c r="L708" i="1"/>
  <c r="H709" i="1"/>
  <c r="K709" i="1"/>
  <c r="L709" i="1"/>
  <c r="H710" i="1"/>
  <c r="K710" i="1"/>
  <c r="L710" i="1"/>
  <c r="H711" i="1"/>
  <c r="K711" i="1"/>
  <c r="L711" i="1"/>
  <c r="H712" i="1"/>
  <c r="K712" i="1"/>
  <c r="L712" i="1"/>
  <c r="H713" i="1"/>
  <c r="K713" i="1"/>
  <c r="L713" i="1"/>
  <c r="H714" i="1"/>
  <c r="K714" i="1"/>
  <c r="L714" i="1"/>
  <c r="H715" i="1"/>
  <c r="K715" i="1"/>
  <c r="L715" i="1"/>
  <c r="H716" i="1"/>
  <c r="K716" i="1"/>
  <c r="L716" i="1"/>
  <c r="H717" i="1"/>
  <c r="K717" i="1"/>
  <c r="L717" i="1"/>
  <c r="H718" i="1"/>
  <c r="K718" i="1"/>
  <c r="L718" i="1"/>
  <c r="H719" i="1"/>
  <c r="K719" i="1"/>
  <c r="L719" i="1"/>
  <c r="H720" i="1"/>
  <c r="K720" i="1"/>
  <c r="L720" i="1"/>
  <c r="H721" i="1"/>
  <c r="K721" i="1"/>
  <c r="L721" i="1"/>
  <c r="H722" i="1"/>
  <c r="K722" i="1"/>
  <c r="L722" i="1"/>
  <c r="H723" i="1"/>
  <c r="K723" i="1"/>
  <c r="L723" i="1"/>
  <c r="H724" i="1"/>
  <c r="K724" i="1"/>
  <c r="L724" i="1"/>
  <c r="H725" i="1"/>
  <c r="K725" i="1"/>
  <c r="L725" i="1"/>
  <c r="H726" i="1"/>
  <c r="K726" i="1"/>
  <c r="L726" i="1"/>
  <c r="H727" i="1"/>
  <c r="K727" i="1"/>
  <c r="L727" i="1"/>
  <c r="H728" i="1"/>
  <c r="K728" i="1"/>
  <c r="L728" i="1"/>
  <c r="H729" i="1"/>
  <c r="K729" i="1"/>
  <c r="L729" i="1"/>
  <c r="H730" i="1"/>
  <c r="K730" i="1"/>
  <c r="L730" i="1"/>
  <c r="H731" i="1"/>
  <c r="K731" i="1"/>
  <c r="L731" i="1"/>
  <c r="H732" i="1"/>
  <c r="K732" i="1"/>
  <c r="L732" i="1"/>
  <c r="H733" i="1"/>
  <c r="K733" i="1"/>
  <c r="L733" i="1"/>
  <c r="H734" i="1"/>
  <c r="K734" i="1"/>
  <c r="L734" i="1"/>
  <c r="H735" i="1"/>
  <c r="K735" i="1"/>
  <c r="L735" i="1"/>
  <c r="H736" i="1"/>
  <c r="K736" i="1"/>
  <c r="L736" i="1"/>
  <c r="H737" i="1"/>
  <c r="K737" i="1"/>
  <c r="L737" i="1"/>
  <c r="H738" i="1"/>
  <c r="K738" i="1"/>
  <c r="L738" i="1"/>
  <c r="H739" i="1"/>
  <c r="K739" i="1"/>
  <c r="L739" i="1"/>
  <c r="H740" i="1"/>
  <c r="K740" i="1"/>
  <c r="L740" i="1"/>
  <c r="H741" i="1"/>
  <c r="K741" i="1"/>
  <c r="L741" i="1"/>
  <c r="H742" i="1"/>
  <c r="K742" i="1"/>
  <c r="L742" i="1"/>
  <c r="H743" i="1"/>
  <c r="K743" i="1"/>
  <c r="L743" i="1"/>
  <c r="H744" i="1"/>
  <c r="K744" i="1"/>
  <c r="L744" i="1"/>
  <c r="H745" i="1"/>
  <c r="K745" i="1"/>
  <c r="L745" i="1"/>
  <c r="H746" i="1"/>
  <c r="K746" i="1"/>
  <c r="L746" i="1"/>
  <c r="H747" i="1"/>
  <c r="K747" i="1"/>
  <c r="L747" i="1"/>
  <c r="H748" i="1"/>
  <c r="K748" i="1"/>
  <c r="L748" i="1"/>
  <c r="H749" i="1"/>
  <c r="K749" i="1"/>
  <c r="L749" i="1"/>
  <c r="H750" i="1"/>
  <c r="K750" i="1"/>
  <c r="L750" i="1"/>
  <c r="H751" i="1"/>
  <c r="K751" i="1"/>
  <c r="L751" i="1"/>
  <c r="H752" i="1"/>
  <c r="K752" i="1"/>
  <c r="L752" i="1"/>
  <c r="H753" i="1"/>
  <c r="K753" i="1"/>
  <c r="L753" i="1"/>
  <c r="H754" i="1"/>
  <c r="K754" i="1"/>
  <c r="L754" i="1"/>
  <c r="H755" i="1"/>
  <c r="K755" i="1"/>
  <c r="L755" i="1"/>
  <c r="H756" i="1"/>
  <c r="K756" i="1"/>
  <c r="L756" i="1"/>
  <c r="H757" i="1"/>
  <c r="K757" i="1"/>
  <c r="L757" i="1"/>
  <c r="H758" i="1"/>
  <c r="K758" i="1"/>
  <c r="L758" i="1"/>
  <c r="H759" i="1"/>
  <c r="K759" i="1"/>
  <c r="L759" i="1"/>
  <c r="H760" i="1"/>
  <c r="K760" i="1"/>
  <c r="L760" i="1"/>
  <c r="H761" i="1"/>
  <c r="K761" i="1"/>
  <c r="L761" i="1"/>
  <c r="H762" i="1"/>
  <c r="K762" i="1"/>
  <c r="L762" i="1"/>
  <c r="H763" i="1"/>
  <c r="K763" i="1"/>
  <c r="L763" i="1"/>
  <c r="H764" i="1"/>
  <c r="K764" i="1"/>
  <c r="L764" i="1"/>
  <c r="H765" i="1"/>
  <c r="K765" i="1"/>
  <c r="L765" i="1"/>
  <c r="H766" i="1"/>
  <c r="K766" i="1"/>
  <c r="L766" i="1"/>
  <c r="H767" i="1"/>
  <c r="K767" i="1"/>
  <c r="L767" i="1"/>
  <c r="H768" i="1"/>
  <c r="K768" i="1"/>
  <c r="L768" i="1"/>
  <c r="H769" i="1"/>
  <c r="K769" i="1"/>
  <c r="L769" i="1"/>
  <c r="H770" i="1"/>
  <c r="K770" i="1"/>
  <c r="L770" i="1"/>
  <c r="H771" i="1"/>
  <c r="K771" i="1"/>
  <c r="L771" i="1"/>
  <c r="H772" i="1"/>
  <c r="K772" i="1"/>
  <c r="L772" i="1"/>
  <c r="H773" i="1"/>
  <c r="K773" i="1"/>
  <c r="L773" i="1"/>
  <c r="H774" i="1"/>
  <c r="K774" i="1"/>
  <c r="L774" i="1"/>
  <c r="H775" i="1"/>
  <c r="K775" i="1"/>
  <c r="L775" i="1"/>
  <c r="H776" i="1"/>
  <c r="K776" i="1"/>
  <c r="L776" i="1"/>
  <c r="H777" i="1"/>
  <c r="K777" i="1"/>
  <c r="L777" i="1"/>
  <c r="H778" i="1"/>
  <c r="K778" i="1"/>
  <c r="L778" i="1"/>
  <c r="H779" i="1"/>
  <c r="K779" i="1"/>
  <c r="L779" i="1"/>
  <c r="H780" i="1"/>
  <c r="K780" i="1"/>
  <c r="L780" i="1"/>
  <c r="H781" i="1"/>
  <c r="K781" i="1"/>
  <c r="L781" i="1"/>
  <c r="H782" i="1"/>
  <c r="K782" i="1"/>
  <c r="L782" i="1"/>
  <c r="H783" i="1"/>
  <c r="K783" i="1"/>
  <c r="L783" i="1"/>
  <c r="H784" i="1"/>
  <c r="K784" i="1"/>
  <c r="L784" i="1"/>
  <c r="H785" i="1"/>
  <c r="K785" i="1"/>
  <c r="L785" i="1"/>
  <c r="H786" i="1"/>
  <c r="K786" i="1"/>
  <c r="L786" i="1"/>
  <c r="H787" i="1"/>
  <c r="K787" i="1"/>
  <c r="L787" i="1"/>
  <c r="H788" i="1"/>
  <c r="K788" i="1"/>
  <c r="L788" i="1"/>
  <c r="H789" i="1"/>
  <c r="K789" i="1"/>
  <c r="L789" i="1"/>
  <c r="H790" i="1"/>
  <c r="K790" i="1"/>
  <c r="L790" i="1"/>
  <c r="H791" i="1"/>
  <c r="K791" i="1"/>
  <c r="L791" i="1"/>
  <c r="H792" i="1"/>
  <c r="K792" i="1"/>
  <c r="L792" i="1"/>
  <c r="H793" i="1"/>
  <c r="K793" i="1"/>
  <c r="L793" i="1"/>
  <c r="H794" i="1"/>
  <c r="K794" i="1"/>
  <c r="L794" i="1"/>
  <c r="H795" i="1"/>
  <c r="K795" i="1"/>
  <c r="L795" i="1"/>
  <c r="H796" i="1"/>
  <c r="K796" i="1"/>
  <c r="L796" i="1"/>
  <c r="H797" i="1"/>
  <c r="K797" i="1"/>
  <c r="L797" i="1"/>
  <c r="H798" i="1"/>
  <c r="K798" i="1"/>
  <c r="L798" i="1"/>
  <c r="H799" i="1"/>
  <c r="K799" i="1"/>
  <c r="L799" i="1"/>
  <c r="H800" i="1"/>
  <c r="K800" i="1"/>
  <c r="L800" i="1"/>
  <c r="H801" i="1"/>
  <c r="K801" i="1"/>
  <c r="L801" i="1"/>
  <c r="H802" i="1"/>
  <c r="K802" i="1"/>
  <c r="L802" i="1"/>
  <c r="H803" i="1"/>
  <c r="K803" i="1"/>
  <c r="L803" i="1"/>
  <c r="H804" i="1"/>
  <c r="K804" i="1"/>
  <c r="L804" i="1"/>
  <c r="H805" i="1"/>
  <c r="K805" i="1"/>
  <c r="L805" i="1"/>
  <c r="H806" i="1"/>
  <c r="K806" i="1"/>
  <c r="L806" i="1"/>
  <c r="H807" i="1"/>
  <c r="K807" i="1"/>
  <c r="L807" i="1"/>
  <c r="H808" i="1"/>
  <c r="K808" i="1"/>
  <c r="L808" i="1"/>
  <c r="H809" i="1"/>
  <c r="K809" i="1"/>
  <c r="L809" i="1"/>
  <c r="H810" i="1"/>
  <c r="K810" i="1"/>
  <c r="L810" i="1"/>
  <c r="H811" i="1"/>
  <c r="K811" i="1"/>
  <c r="L811" i="1"/>
  <c r="H813" i="1"/>
  <c r="L813" i="1" s="1"/>
  <c r="K813" i="1"/>
  <c r="H814" i="1"/>
  <c r="L814" i="1" s="1"/>
  <c r="K814" i="1"/>
  <c r="H815" i="1"/>
  <c r="L815" i="1" s="1"/>
  <c r="K815" i="1"/>
  <c r="H816" i="1"/>
  <c r="L816" i="1" s="1"/>
  <c r="K816" i="1"/>
  <c r="H817" i="1"/>
  <c r="L817" i="1" s="1"/>
  <c r="K817" i="1"/>
  <c r="H818" i="1"/>
  <c r="L818" i="1" s="1"/>
  <c r="K818" i="1"/>
  <c r="H819" i="1"/>
  <c r="L819" i="1" s="1"/>
  <c r="K819" i="1"/>
  <c r="H820" i="1"/>
  <c r="L820" i="1" s="1"/>
  <c r="K820" i="1"/>
  <c r="H821" i="1"/>
  <c r="L821" i="1" s="1"/>
  <c r="K821" i="1"/>
  <c r="H822" i="1"/>
  <c r="L822" i="1" s="1"/>
  <c r="K822" i="1"/>
  <c r="H823" i="1"/>
  <c r="L823" i="1" s="1"/>
  <c r="K823" i="1"/>
  <c r="H824" i="1"/>
  <c r="L824" i="1" s="1"/>
  <c r="K824" i="1"/>
  <c r="H825" i="1"/>
  <c r="L825" i="1" s="1"/>
  <c r="K825" i="1"/>
  <c r="H826" i="1"/>
  <c r="L826" i="1" s="1"/>
  <c r="K826" i="1"/>
  <c r="H827" i="1"/>
  <c r="L827" i="1" s="1"/>
  <c r="K827" i="1"/>
  <c r="H828" i="1"/>
  <c r="L828" i="1" s="1"/>
  <c r="K828" i="1"/>
  <c r="H829" i="1"/>
  <c r="L829" i="1" s="1"/>
  <c r="K829" i="1"/>
  <c r="H830" i="1"/>
  <c r="L830" i="1" s="1"/>
  <c r="K830" i="1"/>
  <c r="H831" i="1"/>
  <c r="L831" i="1" s="1"/>
  <c r="K831" i="1"/>
  <c r="H832" i="1"/>
  <c r="L832" i="1" s="1"/>
  <c r="K832" i="1"/>
  <c r="H833" i="1"/>
  <c r="L833" i="1" s="1"/>
  <c r="K833" i="1"/>
  <c r="H834" i="1"/>
  <c r="L834" i="1" s="1"/>
  <c r="K834" i="1"/>
  <c r="H835" i="1"/>
  <c r="L835" i="1" s="1"/>
  <c r="K835" i="1"/>
  <c r="H836" i="1"/>
  <c r="L836" i="1" s="1"/>
  <c r="K836" i="1"/>
  <c r="H837" i="1"/>
  <c r="L837" i="1" s="1"/>
  <c r="K837" i="1"/>
  <c r="H838" i="1"/>
  <c r="L838" i="1" s="1"/>
  <c r="K838" i="1"/>
  <c r="H839" i="1"/>
  <c r="L839" i="1" s="1"/>
  <c r="K839" i="1"/>
  <c r="H840" i="1"/>
  <c r="L840" i="1" s="1"/>
  <c r="K840" i="1"/>
  <c r="H841" i="1"/>
  <c r="L841" i="1" s="1"/>
  <c r="K841" i="1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F5" i="19" l="1"/>
  <c r="F6" i="19" s="1"/>
  <c r="F7" i="19" s="1"/>
  <c r="F8" i="19" s="1"/>
  <c r="F9" i="19" s="1"/>
  <c r="F10" i="19" s="1"/>
  <c r="F11" i="19" s="1"/>
  <c r="F12" i="19" s="1"/>
  <c r="F13" i="19" s="1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L128" i="1"/>
  <c r="L124" i="1"/>
  <c r="L120" i="1"/>
  <c r="L116" i="1"/>
  <c r="L112" i="1"/>
  <c r="L108" i="1"/>
  <c r="L104" i="1"/>
  <c r="L100" i="1"/>
  <c r="L96" i="1"/>
  <c r="K84" i="1"/>
  <c r="K80" i="1"/>
  <c r="K76" i="1"/>
  <c r="K72" i="1"/>
  <c r="K68" i="1"/>
  <c r="K64" i="1"/>
  <c r="K60" i="1"/>
  <c r="K56" i="1"/>
  <c r="K52" i="1"/>
  <c r="K48" i="1"/>
  <c r="K44" i="1"/>
  <c r="K40" i="1"/>
  <c r="K36" i="1"/>
  <c r="K32" i="1"/>
  <c r="K28" i="1"/>
  <c r="K24" i="1"/>
  <c r="K20" i="1"/>
  <c r="K16" i="1"/>
  <c r="K12" i="1"/>
  <c r="K8" i="1"/>
  <c r="K4" i="1"/>
  <c r="K83" i="1"/>
  <c r="L83" i="1"/>
  <c r="K79" i="1"/>
  <c r="L79" i="1"/>
  <c r="K75" i="1"/>
  <c r="L75" i="1"/>
  <c r="K71" i="1"/>
  <c r="L71" i="1"/>
  <c r="K67" i="1"/>
  <c r="L67" i="1"/>
  <c r="K63" i="1"/>
  <c r="L63" i="1"/>
  <c r="K59" i="1"/>
  <c r="L59" i="1"/>
  <c r="K55" i="1"/>
  <c r="L55" i="1"/>
  <c r="K51" i="1"/>
  <c r="L51" i="1"/>
  <c r="K47" i="1"/>
  <c r="L47" i="1"/>
  <c r="K43" i="1"/>
  <c r="L43" i="1"/>
  <c r="K39" i="1"/>
  <c r="L39" i="1"/>
  <c r="K35" i="1"/>
  <c r="L35" i="1"/>
  <c r="K31" i="1"/>
  <c r="L31" i="1"/>
  <c r="K27" i="1"/>
  <c r="L27" i="1"/>
  <c r="K23" i="1"/>
  <c r="L23" i="1"/>
  <c r="K19" i="1"/>
  <c r="L19" i="1"/>
  <c r="K15" i="1"/>
  <c r="L15" i="1"/>
  <c r="K11" i="1"/>
  <c r="L11" i="1"/>
  <c r="K7" i="1"/>
  <c r="L7" i="1"/>
  <c r="K3" i="1"/>
  <c r="L3" i="1"/>
  <c r="L126" i="1"/>
  <c r="L122" i="1"/>
  <c r="L118" i="1"/>
  <c r="L114" i="1"/>
  <c r="L110" i="1"/>
  <c r="L106" i="1"/>
  <c r="L102" i="1"/>
  <c r="L98" i="1"/>
  <c r="L82" i="1"/>
  <c r="L78" i="1"/>
  <c r="L74" i="1"/>
  <c r="L70" i="1"/>
  <c r="L66" i="1"/>
  <c r="L62" i="1"/>
  <c r="L58" i="1"/>
  <c r="L54" i="1"/>
  <c r="L50" i="1"/>
  <c r="L46" i="1"/>
  <c r="L42" i="1"/>
  <c r="L38" i="1"/>
  <c r="L34" i="1"/>
  <c r="L30" i="1"/>
  <c r="L26" i="1"/>
  <c r="L22" i="1"/>
  <c r="L18" i="1"/>
  <c r="L14" i="1"/>
  <c r="L10" i="1"/>
  <c r="L6" i="1"/>
  <c r="L2" i="1"/>
  <c r="G812" i="1"/>
  <c r="K812" i="1"/>
  <c r="G812" i="1" a="1"/>
  <c r="H812" i="1"/>
  <c r="L812" i="1"/>
</calcChain>
</file>

<file path=xl/sharedStrings.xml><?xml version="1.0" encoding="utf-8"?>
<sst xmlns="http://schemas.openxmlformats.org/spreadsheetml/2006/main" count="7015" uniqueCount="123">
  <si>
    <t>Item Name</t>
  </si>
  <si>
    <t>Type</t>
  </si>
  <si>
    <t>Pineapple</t>
  </si>
  <si>
    <t>Fresh Cream</t>
  </si>
  <si>
    <t xml:space="preserve">Date </t>
  </si>
  <si>
    <t>day</t>
  </si>
  <si>
    <t>Sunday</t>
  </si>
  <si>
    <t>Chocolate Truffle</t>
  </si>
  <si>
    <t>Black forest</t>
  </si>
  <si>
    <t>Butter Scotch</t>
  </si>
  <si>
    <t>Monday</t>
  </si>
  <si>
    <t>Tuesday</t>
  </si>
  <si>
    <t>Rich Cream</t>
  </si>
  <si>
    <t>Chocochip</t>
  </si>
  <si>
    <t>Fruit Cake(400gram)</t>
  </si>
  <si>
    <t>Fruit Cake(200gram)</t>
  </si>
  <si>
    <t>Dry Cake</t>
  </si>
  <si>
    <t>Bonfire</t>
  </si>
  <si>
    <t>Cupcakes</t>
  </si>
  <si>
    <t>Muffins</t>
  </si>
  <si>
    <t>Jar Cakes</t>
  </si>
  <si>
    <t>Pastry</t>
  </si>
  <si>
    <t>Paneer Sandwich</t>
  </si>
  <si>
    <t>Black Forest</t>
  </si>
  <si>
    <t>Snack</t>
  </si>
  <si>
    <t>Hotdog</t>
  </si>
  <si>
    <t>Paneer Roll</t>
  </si>
  <si>
    <t>Aloo Patiz</t>
  </si>
  <si>
    <t>Paneer Patiz</t>
  </si>
  <si>
    <t>Pao</t>
  </si>
  <si>
    <t>Bread Item</t>
  </si>
  <si>
    <t>Burger Buns</t>
  </si>
  <si>
    <t>Pizza Base</t>
  </si>
  <si>
    <t>Brown Bread</t>
  </si>
  <si>
    <t>Choco Lava</t>
  </si>
  <si>
    <t>Wednesday</t>
  </si>
  <si>
    <t>Thursday</t>
  </si>
  <si>
    <t>Friday</t>
  </si>
  <si>
    <t>Saturday</t>
  </si>
  <si>
    <t>Number Of Items Sold</t>
  </si>
  <si>
    <t xml:space="preserve">Sales </t>
  </si>
  <si>
    <t>Opening Stock</t>
  </si>
  <si>
    <t xml:space="preserve">Wednesday </t>
  </si>
  <si>
    <t>Closing Stock</t>
  </si>
  <si>
    <t>Selling Price</t>
  </si>
  <si>
    <t>Cost Price</t>
  </si>
  <si>
    <t>profit</t>
  </si>
  <si>
    <t>SKU</t>
  </si>
  <si>
    <t>F01</t>
  </si>
  <si>
    <t>R01</t>
  </si>
  <si>
    <t>D01</t>
  </si>
  <si>
    <t>P01</t>
  </si>
  <si>
    <t>F03</t>
  </si>
  <si>
    <t>F04</t>
  </si>
  <si>
    <t>R02</t>
  </si>
  <si>
    <t>R03</t>
  </si>
  <si>
    <t>R04</t>
  </si>
  <si>
    <t>R05</t>
  </si>
  <si>
    <t>D02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</si>
  <si>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</si>
  <si>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</si>
  <si>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</si>
  <si>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</si>
  <si>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</si>
  <si>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</si>
  <si>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</si>
  <si>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</si>
  <si>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</si>
  <si>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S01</t>
  </si>
  <si>
    <t>S02</t>
  </si>
  <si>
    <t>S03</t>
  </si>
  <si>
    <t>S04</t>
  </si>
  <si>
    <t>S05</t>
  </si>
  <si>
    <t>B01</t>
  </si>
  <si>
    <t>B02</t>
  </si>
  <si>
    <t>B03</t>
  </si>
  <si>
    <t>B04</t>
  </si>
  <si>
    <t>F02</t>
  </si>
  <si>
    <t>Grand Total</t>
  </si>
  <si>
    <t xml:space="preserve">Sum of Sales </t>
  </si>
  <si>
    <t>Sum of profit</t>
  </si>
  <si>
    <t>Sum of Number Of Items Sold</t>
  </si>
  <si>
    <t>(All)</t>
  </si>
  <si>
    <t>c</t>
  </si>
  <si>
    <t>Days</t>
  </si>
  <si>
    <t>Sum of Sales</t>
  </si>
  <si>
    <t>Sum of Profit</t>
  </si>
  <si>
    <t>Row Labels</t>
  </si>
  <si>
    <t>Total</t>
  </si>
  <si>
    <t>Average Sales per Day</t>
  </si>
  <si>
    <t>Median</t>
  </si>
  <si>
    <t>Standard Deviation</t>
  </si>
  <si>
    <t>No. Of Days With Below Av. Sales</t>
  </si>
  <si>
    <t>No. Of Days With Above Av. Sales</t>
  </si>
  <si>
    <t>Values</t>
  </si>
  <si>
    <t xml:space="preserve"> Contribution (%)</t>
  </si>
  <si>
    <t>Cumulative (%)</t>
  </si>
  <si>
    <t>.</t>
  </si>
  <si>
    <t>(blank)</t>
  </si>
  <si>
    <t>Week 1</t>
  </si>
  <si>
    <t>Week 2</t>
  </si>
  <si>
    <t>Week 3</t>
  </si>
  <si>
    <t>Week 4</t>
  </si>
  <si>
    <t>Average Weekly Sales</t>
  </si>
  <si>
    <t>Av. Sales (Monday)</t>
  </si>
  <si>
    <t>Av. Sales (Tuesday)</t>
  </si>
  <si>
    <t>Av. Sales (Wednesday)</t>
  </si>
  <si>
    <t>Av. Sales (Thursday)</t>
  </si>
  <si>
    <t>Av. Sales (Friday)</t>
  </si>
  <si>
    <t>Av. Sales (Saturday)</t>
  </si>
  <si>
    <t>Av. Sales (Sunday)</t>
  </si>
  <si>
    <t xml:space="preserve">Average of Sales </t>
  </si>
  <si>
    <t>Item Type</t>
  </si>
  <si>
    <t>profit margin</t>
  </si>
  <si>
    <t>70% -</t>
  </si>
  <si>
    <t>R01, R04, R03, R05, F02. F01, F04, F03, P06, P01, P04, R02</t>
  </si>
  <si>
    <t>20% -</t>
  </si>
  <si>
    <t>P02, P05, B04, D02, P03, B01, P10, D01</t>
  </si>
  <si>
    <t>10% -</t>
  </si>
  <si>
    <t xml:space="preserve">S05, P08, B03, S01, S04, B02, P09, S03, S02, P07 </t>
  </si>
  <si>
    <t>Class A</t>
  </si>
  <si>
    <t>Class B</t>
  </si>
  <si>
    <t>Class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</si>
</sst>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800]dddd\,\ mmmm\ dd\,\ yyyy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8">
    <xf numFmtId="0" fontId="0" fillId="0" borderId="0" xfId="0"/>
    <xf numFmtId="15" fontId="0" fillId="0" borderId="0" xfId="0" applyNumberFormat="1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10" fontId="3" fillId="0" borderId="0" xfId="0" applyNumberFormat="1" applyFon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0" fontId="2" fillId="0" borderId="0" xfId="0" applyFont="1"/>
    <xf numFmtId="164" fontId="2" fillId="2" borderId="1" xfId="0" applyNumberFormat="1" applyFont="1" applyFill="1" applyBorder="1"/>
    <xf numFmtId="0" fontId="0" fillId="0" borderId="3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3" xfId="0" applyNumberFormat="1" applyBorder="1"/>
    <xf numFmtId="14" fontId="0" fillId="0" borderId="4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0" fillId="0" borderId="0" xfId="0" pivotButton="1" applyAlignment="1">
      <alignment horizontal="left"/>
    </xf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left"/>
    </xf>
    <xf numFmtId="0" fontId="0" fillId="0" borderId="1" xfId="0" applyBorder="1"/>
    <xf numFmtId="0" fontId="2" fillId="2" borderId="0" xfId="0" applyFont="1" applyFill="1"/>
    <xf numFmtId="164" fontId="0" fillId="0" borderId="1" xfId="0" applyNumberFormat="1" applyBorder="1"/>
    <xf numFmtId="164" fontId="2" fillId="2" borderId="0" xfId="0" applyNumberFormat="1" applyFont="1" applyFill="1"/>
    <xf numFmtId="0" fontId="0" fillId="0" borderId="2" xfId="0" applyBorder="1" applyAlignment="1">
      <alignment horizontal="left"/>
    </xf>
    <xf numFmtId="0" fontId="0" fillId="0" borderId="2" xfId="0" applyBorder="1"/>
    <xf numFmtId="164" fontId="0" fillId="0" borderId="2" xfId="0" applyNumberFormat="1" applyBorder="1"/>
    <xf numFmtId="14" fontId="0" fillId="0" borderId="0" xfId="0" applyNumberFormat="1" applyAlignment="1">
      <alignment horizontal="left"/>
    </xf>
    <xf numFmtId="165" fontId="3" fillId="0" borderId="0" xfId="0" applyNumberFormat="1" applyFont="1"/>
    <xf numFmtId="165" fontId="0" fillId="0" borderId="0" xfId="0" applyNumberFormat="1"/>
    <xf numFmtId="0" fontId="0" fillId="0" borderId="0" xfId="0" applyAlignment="1">
      <alignment horizontal="left" indent="1"/>
    </xf>
    <xf numFmtId="0" fontId="4" fillId="0" borderId="0" xfId="0" applyFont="1"/>
    <xf numFmtId="14" fontId="0" fillId="0" borderId="0" xfId="0" applyNumberFormat="1" applyAlignment="1">
      <alignment horizontal="left" indent="1"/>
    </xf>
    <xf numFmtId="0" fontId="2" fillId="2" borderId="2" xfId="0" applyFont="1" applyFill="1" applyBorder="1"/>
  </cellXfs>
  <cellStyles count="1">
    <cellStyle name="Normal" xfId="0" builtinId="0"/>
  </cellStyles>
  <dxfs count="12"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Revnue vs total Profit'!$J$6</c:f>
              <c:strCache>
                <c:ptCount val="1"/>
                <c:pt idx="0">
                  <c:v>Sum of 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Revnue vs total Profit'!$I$7:$I$12</c:f>
              <c:strCache>
                <c:ptCount val="6"/>
                <c:pt idx="0">
                  <c:v>Bread Item</c:v>
                </c:pt>
                <c:pt idx="1">
                  <c:v>Dry Cake</c:v>
                </c:pt>
                <c:pt idx="2">
                  <c:v>Fresh Cream</c:v>
                </c:pt>
                <c:pt idx="3">
                  <c:v>Pastry</c:v>
                </c:pt>
                <c:pt idx="4">
                  <c:v>Rich Cream</c:v>
                </c:pt>
                <c:pt idx="5">
                  <c:v>Snack</c:v>
                </c:pt>
              </c:strCache>
            </c:strRef>
          </c:cat>
          <c:val>
            <c:numRef>
              <c:f>'Total Revnue vs total Profit'!$J$7:$J$12</c:f>
              <c:numCache>
                <c:formatCode>"₹"\ #,##0.00</c:formatCode>
                <c:ptCount val="6"/>
                <c:pt idx="0">
                  <c:v>11040</c:v>
                </c:pt>
                <c:pt idx="1">
                  <c:v>6400</c:v>
                </c:pt>
                <c:pt idx="2">
                  <c:v>37450</c:v>
                </c:pt>
                <c:pt idx="3">
                  <c:v>38945</c:v>
                </c:pt>
                <c:pt idx="4">
                  <c:v>52450</c:v>
                </c:pt>
                <c:pt idx="5">
                  <c:v>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6-498C-8D04-28BFD23C7A29}"/>
            </c:ext>
          </c:extLst>
        </c:ser>
        <c:ser>
          <c:idx val="1"/>
          <c:order val="1"/>
          <c:tx>
            <c:strRef>
              <c:f>'Total Revnue vs total Profit'!$K$6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 Revnue vs total Profit'!$I$7:$I$12</c:f>
              <c:strCache>
                <c:ptCount val="6"/>
                <c:pt idx="0">
                  <c:v>Bread Item</c:v>
                </c:pt>
                <c:pt idx="1">
                  <c:v>Dry Cake</c:v>
                </c:pt>
                <c:pt idx="2">
                  <c:v>Fresh Cream</c:v>
                </c:pt>
                <c:pt idx="3">
                  <c:v>Pastry</c:v>
                </c:pt>
                <c:pt idx="4">
                  <c:v>Rich Cream</c:v>
                </c:pt>
                <c:pt idx="5">
                  <c:v>Snack</c:v>
                </c:pt>
              </c:strCache>
            </c:strRef>
          </c:cat>
          <c:val>
            <c:numRef>
              <c:f>'Total Revnue vs total Profit'!$K$7:$K$12</c:f>
              <c:numCache>
                <c:formatCode>"₹"\ #,##0.00</c:formatCode>
                <c:ptCount val="6"/>
                <c:pt idx="0">
                  <c:v>1750</c:v>
                </c:pt>
                <c:pt idx="1">
                  <c:v>1760</c:v>
                </c:pt>
                <c:pt idx="2">
                  <c:v>16100</c:v>
                </c:pt>
                <c:pt idx="3">
                  <c:v>15145</c:v>
                </c:pt>
                <c:pt idx="4">
                  <c:v>15300</c:v>
                </c:pt>
                <c:pt idx="5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06-498C-8D04-28BFD23C7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2184911"/>
        <c:axId val="1302178191"/>
      </c:barChart>
      <c:catAx>
        <c:axId val="130218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178191"/>
        <c:crosses val="autoZero"/>
        <c:auto val="1"/>
        <c:lblAlgn val="ctr"/>
        <c:lblOffset val="100"/>
        <c:noMultiLvlLbl val="0"/>
      </c:catAx>
      <c:valAx>
        <c:axId val="130217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18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[BDM Project (Dataset)2.xlsx]Sheet3!PivotTable6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Distribution Across Product Categories</a:t>
            </a:r>
            <a:endParaRPr lang="en-IN"/>
          </a:p>
        </c:rich>
      </c:tx>
      <c:layout>
        <c:manualLayout>
          <c:xMode val="edge"/>
          <c:yMode val="edge"/>
          <c:x val="0.14957633420822397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Sheet3!$A$4:$A$10</c:f>
              <c:strCache>
                <c:ptCount val="6"/>
                <c:pt idx="0">
                  <c:v>Bread Item</c:v>
                </c:pt>
                <c:pt idx="1">
                  <c:v>Dry Cake</c:v>
                </c:pt>
                <c:pt idx="2">
                  <c:v>Fresh Cream</c:v>
                </c:pt>
                <c:pt idx="3">
                  <c:v>Pastry</c:v>
                </c:pt>
                <c:pt idx="4">
                  <c:v>Rich Cream</c:v>
                </c:pt>
                <c:pt idx="5">
                  <c:v>Snack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350</c:v>
                </c:pt>
                <c:pt idx="1">
                  <c:v>31</c:v>
                </c:pt>
                <c:pt idx="2">
                  <c:v>161</c:v>
                </c:pt>
                <c:pt idx="3">
                  <c:v>836</c:v>
                </c:pt>
                <c:pt idx="4">
                  <c:v>141</c:v>
                </c:pt>
                <c:pt idx="5">
                  <c:v>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6-4878-84AF-87A1FA09C1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4302799"/>
        <c:axId val="1364304719"/>
      </c:barChart>
      <c:catAx>
        <c:axId val="1364302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Item</a:t>
                </a:r>
                <a:r>
                  <a:rPr lang="en-IN" baseline="0"/>
                  <a:t> Type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3703127734033237"/>
              <c:y val="0.8380344123651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304719"/>
        <c:crosses val="autoZero"/>
        <c:auto val="1"/>
        <c:lblAlgn val="ctr"/>
        <c:lblOffset val="100"/>
        <c:noMultiLvlLbl val="0"/>
      </c:catAx>
      <c:valAx>
        <c:axId val="136430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Items Sold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3888888888888888E-2"/>
              <c:y val="0.258655220180810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30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[BDM Project (Dataset)2.xlsx]Daily Sales!PivotTable3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</a:t>
            </a:r>
            <a:r>
              <a:rPr lang="en-IN" baseline="0"/>
              <a:t>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Sales'!$B$3:$B$4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Sales'!$A$5:$A$34</c:f>
              <c:strCache>
                <c:ptCount val="29"/>
                <c:pt idx="0">
                  <c:v>25-12-2022</c:v>
                </c:pt>
                <c:pt idx="1">
                  <c:v>26-12-2022</c:v>
                </c:pt>
                <c:pt idx="2">
                  <c:v>27-12-2022</c:v>
                </c:pt>
                <c:pt idx="3">
                  <c:v>28-12-2022</c:v>
                </c:pt>
                <c:pt idx="4">
                  <c:v>29-12-2022</c:v>
                </c:pt>
                <c:pt idx="5">
                  <c:v>30-12-2022</c:v>
                </c:pt>
                <c:pt idx="6">
                  <c:v>31-12-2022</c:v>
                </c:pt>
                <c:pt idx="7">
                  <c:v>01-01-2023</c:v>
                </c:pt>
                <c:pt idx="8">
                  <c:v>02-01-2023</c:v>
                </c:pt>
                <c:pt idx="9">
                  <c:v>04-01-2023</c:v>
                </c:pt>
                <c:pt idx="10">
                  <c:v>05-01-2023</c:v>
                </c:pt>
                <c:pt idx="11">
                  <c:v>06-01-2023</c:v>
                </c:pt>
                <c:pt idx="12">
                  <c:v>07-01-2023</c:v>
                </c:pt>
                <c:pt idx="13">
                  <c:v>08-01-2023</c:v>
                </c:pt>
                <c:pt idx="14">
                  <c:v>09-01-2023</c:v>
                </c:pt>
                <c:pt idx="15">
                  <c:v>11-01-2023</c:v>
                </c:pt>
                <c:pt idx="16">
                  <c:v>12-01-2023</c:v>
                </c:pt>
                <c:pt idx="17">
                  <c:v>13-01-2023</c:v>
                </c:pt>
                <c:pt idx="18">
                  <c:v>14-01-2023</c:v>
                </c:pt>
                <c:pt idx="19">
                  <c:v>15-01-2023</c:v>
                </c:pt>
                <c:pt idx="20">
                  <c:v>16-01-2023</c:v>
                </c:pt>
                <c:pt idx="21">
                  <c:v>18-01-2023</c:v>
                </c:pt>
                <c:pt idx="22">
                  <c:v>19-01-2023</c:v>
                </c:pt>
                <c:pt idx="23">
                  <c:v>20-01-2023</c:v>
                </c:pt>
                <c:pt idx="24">
                  <c:v>21-01-2023</c:v>
                </c:pt>
                <c:pt idx="25">
                  <c:v>22-01-2023</c:v>
                </c:pt>
                <c:pt idx="26">
                  <c:v>23-01-2023</c:v>
                </c:pt>
                <c:pt idx="27">
                  <c:v>25-01-2023</c:v>
                </c:pt>
                <c:pt idx="28">
                  <c:v>.</c:v>
                </c:pt>
              </c:strCache>
            </c:strRef>
          </c:cat>
          <c:val>
            <c:numRef>
              <c:f>'Daily Sales'!$B$5:$B$34</c:f>
              <c:numCache>
                <c:formatCode>"₹"\ #,##0.00</c:formatCode>
                <c:ptCount val="29"/>
                <c:pt idx="0">
                  <c:v>16390</c:v>
                </c:pt>
                <c:pt idx="1">
                  <c:v>7815</c:v>
                </c:pt>
                <c:pt idx="2">
                  <c:v>1750</c:v>
                </c:pt>
                <c:pt idx="3">
                  <c:v>4945</c:v>
                </c:pt>
                <c:pt idx="4">
                  <c:v>3020</c:v>
                </c:pt>
                <c:pt idx="5">
                  <c:v>11945</c:v>
                </c:pt>
                <c:pt idx="6">
                  <c:v>23235</c:v>
                </c:pt>
                <c:pt idx="7">
                  <c:v>7405</c:v>
                </c:pt>
                <c:pt idx="8">
                  <c:v>3610</c:v>
                </c:pt>
                <c:pt idx="9">
                  <c:v>3355</c:v>
                </c:pt>
                <c:pt idx="10">
                  <c:v>5675</c:v>
                </c:pt>
                <c:pt idx="11">
                  <c:v>5090</c:v>
                </c:pt>
                <c:pt idx="12">
                  <c:v>5710</c:v>
                </c:pt>
                <c:pt idx="13">
                  <c:v>3915</c:v>
                </c:pt>
                <c:pt idx="14">
                  <c:v>4620</c:v>
                </c:pt>
                <c:pt idx="15">
                  <c:v>4725</c:v>
                </c:pt>
                <c:pt idx="16">
                  <c:v>2420</c:v>
                </c:pt>
                <c:pt idx="17">
                  <c:v>3480</c:v>
                </c:pt>
                <c:pt idx="18">
                  <c:v>7590</c:v>
                </c:pt>
                <c:pt idx="19">
                  <c:v>1360</c:v>
                </c:pt>
                <c:pt idx="20">
                  <c:v>3655</c:v>
                </c:pt>
                <c:pt idx="21">
                  <c:v>3065</c:v>
                </c:pt>
                <c:pt idx="22">
                  <c:v>3485</c:v>
                </c:pt>
                <c:pt idx="23">
                  <c:v>2075</c:v>
                </c:pt>
                <c:pt idx="24">
                  <c:v>4610</c:v>
                </c:pt>
                <c:pt idx="25">
                  <c:v>2885</c:v>
                </c:pt>
                <c:pt idx="26">
                  <c:v>1850</c:v>
                </c:pt>
                <c:pt idx="27">
                  <c:v>4205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1C-489E-8553-EF1C77869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8939392"/>
        <c:axId val="1968939872"/>
      </c:lineChart>
      <c:catAx>
        <c:axId val="19689393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939872"/>
        <c:crosses val="autoZero"/>
        <c:auto val="1"/>
        <c:lblAlgn val="ctr"/>
        <c:lblOffset val="100"/>
        <c:noMultiLvlLbl val="0"/>
      </c:catAx>
      <c:valAx>
        <c:axId val="196893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93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[BDM Project (Dataset)2.xlsx]Profit Trend!PivotTable5</c:name>
    <c:fmtId val="2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'Profit Trend'!$B$3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C94-476B-AF3E-384AD26A47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C94-476B-AF3E-384AD26A47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C94-476B-AF3E-384AD26A47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C94-476B-AF3E-384AD26A47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C94-476B-AF3E-384AD26A47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C94-476B-AF3E-384AD26A47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Trend'!$A$4:$A$10</c:f>
              <c:strCache>
                <c:ptCount val="6"/>
                <c:pt idx="0">
                  <c:v>Bread Item</c:v>
                </c:pt>
                <c:pt idx="1">
                  <c:v>Dry Cake</c:v>
                </c:pt>
                <c:pt idx="2">
                  <c:v>Fresh Cream</c:v>
                </c:pt>
                <c:pt idx="3">
                  <c:v>Pastry</c:v>
                </c:pt>
                <c:pt idx="4">
                  <c:v>Rich Cream</c:v>
                </c:pt>
                <c:pt idx="5">
                  <c:v>Snack</c:v>
                </c:pt>
              </c:strCache>
            </c:strRef>
          </c:cat>
          <c:val>
            <c:numRef>
              <c:f>'Profit Trend'!$B$4:$B$10</c:f>
              <c:numCache>
                <c:formatCode>"₹"\ #,##0.00</c:formatCode>
                <c:ptCount val="6"/>
                <c:pt idx="0">
                  <c:v>11040</c:v>
                </c:pt>
                <c:pt idx="1">
                  <c:v>6400</c:v>
                </c:pt>
                <c:pt idx="2">
                  <c:v>37450</c:v>
                </c:pt>
                <c:pt idx="3">
                  <c:v>38945</c:v>
                </c:pt>
                <c:pt idx="4">
                  <c:v>52450</c:v>
                </c:pt>
                <c:pt idx="5">
                  <c:v>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E4-4C50-9EC2-EE32B33C1DB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'Weekly Sales'!$F$5:$F$11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'Weekly Sales'!$H$5:$H$11</c:f>
              <c:numCache>
                <c:formatCode>"₹"\ #,##0.00</c:formatCode>
                <c:ptCount val="7"/>
                <c:pt idx="0">
                  <c:v>21550</c:v>
                </c:pt>
                <c:pt idx="1">
                  <c:v>1750</c:v>
                </c:pt>
                <c:pt idx="2">
                  <c:v>20295</c:v>
                </c:pt>
                <c:pt idx="3">
                  <c:v>14600</c:v>
                </c:pt>
                <c:pt idx="4">
                  <c:v>22590</c:v>
                </c:pt>
                <c:pt idx="5">
                  <c:v>41145</c:v>
                </c:pt>
                <c:pt idx="6">
                  <c:v>31955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A5-4D8A-947D-3BFF4C178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2733055"/>
        <c:axId val="140273065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'Weekly Sales'!$F$5:$F$11</c15:sqref>
                        </c15:formulaRef>
                      </c:ext>
                    </c:extLst>
                    <c:strCache>
                      <c:ptCount val="7"/>
                      <c:pt idx="0">
                        <c:v>Monday</c:v>
                      </c:pt>
                      <c:pt idx="1">
                        <c:v>Tuesday</c:v>
                      </c:pt>
                      <c:pt idx="2">
                        <c:v>Wednesday</c:v>
                      </c:pt>
                      <c:pt idx="3">
                        <c:v>Thursday</c:v>
                      </c:pt>
                      <c:pt idx="4">
                        <c:v>Friday</c:v>
                      </c:pt>
                      <c:pt idx="5">
                        <c:v>Saturday</c:v>
                      </c:pt>
                      <c:pt idx="6">
                        <c:v>Sunday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'Weekly Sales'!$G$5:$G$11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1A5-4D8A-947D-3BFF4C178FDB}"/>
                  </c:ext>
                </c:extLst>
              </c15:ser>
            </c15:filteredLineSeries>
          </c:ext>
        </c:extLst>
      </c:lineChart>
      <c:catAx>
        <c:axId val="140273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730655"/>
        <c:crosses val="autoZero"/>
        <c:auto val="1"/>
        <c:lblAlgn val="ctr"/>
        <c:lblOffset val="100"/>
        <c:noMultiLvlLbl val="0"/>
      </c:catAx>
      <c:valAx>
        <c:axId val="140273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73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vs Profit'!$L$1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vs Profit'!$H$2:$H$32</c:f>
              <c:strCache>
                <c:ptCount val="31"/>
                <c:pt idx="1">
                  <c:v>R01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  <c:pt idx="5">
                  <c:v>F02</c:v>
                </c:pt>
                <c:pt idx="6">
                  <c:v>F01</c:v>
                </c:pt>
                <c:pt idx="7">
                  <c:v>F04</c:v>
                </c:pt>
                <c:pt idx="8">
                  <c:v>F03</c:v>
                </c:pt>
                <c:pt idx="9">
                  <c:v>P06</c:v>
                </c:pt>
                <c:pt idx="10">
                  <c:v>P01</c:v>
                </c:pt>
                <c:pt idx="11">
                  <c:v>P04</c:v>
                </c:pt>
                <c:pt idx="12">
                  <c:v>R02</c:v>
                </c:pt>
                <c:pt idx="13">
                  <c:v>P02</c:v>
                </c:pt>
                <c:pt idx="14">
                  <c:v>P05</c:v>
                </c:pt>
                <c:pt idx="15">
                  <c:v>B04</c:v>
                </c:pt>
                <c:pt idx="16">
                  <c:v>D02</c:v>
                </c:pt>
                <c:pt idx="17">
                  <c:v>P03</c:v>
                </c:pt>
                <c:pt idx="18">
                  <c:v>B01</c:v>
                </c:pt>
                <c:pt idx="19">
                  <c:v>D01</c:v>
                </c:pt>
                <c:pt idx="20">
                  <c:v>P10</c:v>
                </c:pt>
                <c:pt idx="21">
                  <c:v>S05</c:v>
                </c:pt>
                <c:pt idx="22">
                  <c:v>P08</c:v>
                </c:pt>
                <c:pt idx="23">
                  <c:v>B03</c:v>
                </c:pt>
                <c:pt idx="24">
                  <c:v>S01</c:v>
                </c:pt>
                <c:pt idx="25">
                  <c:v>S04</c:v>
                </c:pt>
                <c:pt idx="26">
                  <c:v>B02</c:v>
                </c:pt>
                <c:pt idx="27">
                  <c:v>P09</c:v>
                </c:pt>
                <c:pt idx="28">
                  <c:v>S03</c:v>
                </c:pt>
                <c:pt idx="29">
                  <c:v>S02</c:v>
                </c:pt>
                <c:pt idx="30">
                  <c:v>P07</c:v>
                </c:pt>
              </c:strCache>
            </c:strRef>
          </c:cat>
          <c:val>
            <c:numRef>
              <c:f>'Sales vs Profit'!$L$2:$L$32</c:f>
              <c:numCache>
                <c:formatCode>0.00%</c:formatCode>
                <c:ptCount val="31"/>
                <c:pt idx="1">
                  <c:v>0.2857142857142857</c:v>
                </c:pt>
                <c:pt idx="2">
                  <c:v>0.2857142857142857</c:v>
                </c:pt>
                <c:pt idx="3">
                  <c:v>0.2857142857142857</c:v>
                </c:pt>
                <c:pt idx="4">
                  <c:v>0.33333333333333331</c:v>
                </c:pt>
                <c:pt idx="5">
                  <c:v>0.33333333333333331</c:v>
                </c:pt>
                <c:pt idx="6">
                  <c:v>0.5</c:v>
                </c:pt>
                <c:pt idx="7">
                  <c:v>0.5</c:v>
                </c:pt>
                <c:pt idx="8">
                  <c:v>0.4</c:v>
                </c:pt>
                <c:pt idx="9">
                  <c:v>0.38461538461538464</c:v>
                </c:pt>
                <c:pt idx="10">
                  <c:v>0.375</c:v>
                </c:pt>
                <c:pt idx="11">
                  <c:v>0.375</c:v>
                </c:pt>
                <c:pt idx="12">
                  <c:v>0.25</c:v>
                </c:pt>
                <c:pt idx="13">
                  <c:v>0.4</c:v>
                </c:pt>
                <c:pt idx="14">
                  <c:v>0.45454545454545453</c:v>
                </c:pt>
                <c:pt idx="15">
                  <c:v>0.14285714285714285</c:v>
                </c:pt>
                <c:pt idx="16">
                  <c:v>0.33333333333333331</c:v>
                </c:pt>
                <c:pt idx="17">
                  <c:v>0.375</c:v>
                </c:pt>
                <c:pt idx="18">
                  <c:v>0.16666666666666666</c:v>
                </c:pt>
                <c:pt idx="19">
                  <c:v>0.2</c:v>
                </c:pt>
                <c:pt idx="20">
                  <c:v>0.4</c:v>
                </c:pt>
                <c:pt idx="21">
                  <c:v>0.2</c:v>
                </c:pt>
                <c:pt idx="22">
                  <c:v>0.33333333333333331</c:v>
                </c:pt>
                <c:pt idx="23">
                  <c:v>0.16666666666666666</c:v>
                </c:pt>
                <c:pt idx="24">
                  <c:v>0.2857142857142857</c:v>
                </c:pt>
                <c:pt idx="25">
                  <c:v>0.33333333333333331</c:v>
                </c:pt>
                <c:pt idx="26">
                  <c:v>0.16666666666666666</c:v>
                </c:pt>
                <c:pt idx="27">
                  <c:v>0.5</c:v>
                </c:pt>
                <c:pt idx="28">
                  <c:v>0.2857142857142857</c:v>
                </c:pt>
                <c:pt idx="29">
                  <c:v>0.30769230769230771</c:v>
                </c:pt>
                <c:pt idx="30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E-4089-9E2E-FC85B50B5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8603119"/>
        <c:axId val="1388605039"/>
      </c:barChart>
      <c:catAx>
        <c:axId val="138860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605039"/>
        <c:crosses val="autoZero"/>
        <c:auto val="1"/>
        <c:lblAlgn val="ctr"/>
        <c:lblOffset val="100"/>
        <c:noMultiLvlLbl val="0"/>
      </c:catAx>
      <c:valAx>
        <c:axId val="138860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60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[BDM Project (Dataset)2.xlsx]Item Type Wise Sales!PivotTable1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'Item Type Wise Sales'!$B$3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'Item Type Wise Sales'!$A$4:$A$10</c:f>
              <c:strCache>
                <c:ptCount val="6"/>
                <c:pt idx="0">
                  <c:v>Bread Item</c:v>
                </c:pt>
                <c:pt idx="1">
                  <c:v>Dry Cake</c:v>
                </c:pt>
                <c:pt idx="2">
                  <c:v>Fresh Cream</c:v>
                </c:pt>
                <c:pt idx="3">
                  <c:v>Pastry</c:v>
                </c:pt>
                <c:pt idx="4">
                  <c:v>Rich Cream</c:v>
                </c:pt>
                <c:pt idx="5">
                  <c:v>Snack</c:v>
                </c:pt>
              </c:strCache>
            </c:strRef>
          </c:cat>
          <c:val>
            <c:numRef>
              <c:f>'Item Type Wise Sales'!$B$4:$B$10</c:f>
              <c:numCache>
                <c:formatCode>"₹"\ #,##0.00</c:formatCode>
                <c:ptCount val="6"/>
                <c:pt idx="0">
                  <c:v>11040</c:v>
                </c:pt>
                <c:pt idx="1">
                  <c:v>6400</c:v>
                </c:pt>
                <c:pt idx="2">
                  <c:v>37450</c:v>
                </c:pt>
                <c:pt idx="3">
                  <c:v>38945</c:v>
                </c:pt>
                <c:pt idx="4">
                  <c:v>52450</c:v>
                </c:pt>
                <c:pt idx="5">
                  <c:v>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F-4931-BA4B-3CD12274D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0600256"/>
        <c:axId val="1"/>
      </c:barChart>
      <c:catAx>
        <c:axId val="2100600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Item</a:t>
                </a:r>
                <a:r>
                  <a:rPr lang="en-IN" baseline="0"/>
                  <a:t> Type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6254330708661417"/>
              <c:y val="0.8241455234762321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layout>
            <c:manualLayout>
              <c:xMode val="edge"/>
              <c:yMode val="edge"/>
              <c:x val="1.1111111111111112E-2"/>
              <c:y val="0.3992494167395742"/>
            </c:manualLayout>
          </c:layout>
          <c:overlay val="0"/>
        </c:title>
        <c:numFmt formatCode="&quot;₹&quot;\ #,##0.00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2100600256"/>
        <c:crosses val="autoZero"/>
        <c:crossBetween val="between"/>
      </c:valAx>
    </c:plotArea>
    <c:legend>
      <c:legendPos val="r"/>
      <c:overlay val="0"/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</xdr:colOff>
      <xdr:row>3</xdr:row>
      <xdr:rowOff>52387</xdr:rowOff>
    </xdr:from>
    <xdr:to>
      <xdr:col>12</xdr:col>
      <xdr:colOff>128587</xdr:colOff>
      <xdr:row>17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9D4A03-3EA2-D420-3375-123905B311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357187</xdr:colOff>
      <xdr:row>3</xdr:row>
      <xdr:rowOff>33337</xdr:rowOff>
    </xdr:from>
    <xdr:to>
      <xdr:col>11</xdr:col>
      <xdr:colOff>52387</xdr:colOff>
      <xdr:row>17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F774B9-BCBD-7913-934C-6691861CE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12</xdr:row>
      <xdr:rowOff>100012</xdr:rowOff>
    </xdr:from>
    <xdr:to>
      <xdr:col>11</xdr:col>
      <xdr:colOff>352425</xdr:colOff>
      <xdr:row>26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ED740F-A4BC-97C7-D009-F735B3B07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119061</xdr:colOff>
      <xdr:row>3</xdr:row>
      <xdr:rowOff>128586</xdr:rowOff>
    </xdr:from>
    <xdr:to>
      <xdr:col>13</xdr:col>
      <xdr:colOff>523874</xdr:colOff>
      <xdr:row>20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3266C1-A2AC-AFF6-6E3F-3E2CE615F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595312</xdr:colOff>
      <xdr:row>3</xdr:row>
      <xdr:rowOff>52387</xdr:rowOff>
    </xdr:from>
    <xdr:to>
      <xdr:col>8</xdr:col>
      <xdr:colOff>500062</xdr:colOff>
      <xdr:row>17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1937BE-B8B2-E09E-5281-19C78C132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681036</xdr:colOff>
      <xdr:row>3</xdr:row>
      <xdr:rowOff>128587</xdr:rowOff>
    </xdr:from>
    <xdr:to>
      <xdr:col>14</xdr:col>
      <xdr:colOff>323849</xdr:colOff>
      <xdr:row>18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E212B3-2584-4439-3A92-886C9F264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2</xdr:row>
      <xdr:rowOff>95250</xdr:rowOff>
    </xdr:from>
    <xdr:to>
      <xdr:col>13</xdr:col>
      <xdr:colOff>495300</xdr:colOff>
      <xdr:row>16</xdr:row>
      <xdr:rowOff>171450</xdr:rowOff>
    </xdr:to>
    <xdr:graphicFrame macro="">
      <xdr:nvGraphicFramePr>
        <xdr:cNvPr id="12307" name="Chart 3">
          <a:extLst>
            <a:ext uri="{FF2B5EF4-FFF2-40B4-BE49-F238E27FC236}">
              <a16:creationId xmlns:a16="http://schemas.microsoft.com/office/drawing/2014/main" id="{4A6B11AB-815D-110C-9BC7-D5FB8D58B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jasi-PC/AppData/Roaming/Microsoft/Excel/BDM%20(Golden%20Crust%20Data)3(Final)(AutoRecovered)%20(version%201).xls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jasi-PC" refreshedDate="45568.869774537037" createdVersion="4" refreshedVersion="4" minRefreshableVersion="3" recordCount="840" xr:uid="{6DC3F3E1-5DED-494A-895D-1B2AD20F5272}">
  <cacheSource type="worksheet">
    <worksheetSource ref="A1:M841" sheet="Updated Original Sales Data"/>
  </cacheSource>
  <cacheFields count="13">
    <cacheField name="Item Name" numFmtId="0">
      <sharedItems count="21">
        <s v="Pineapple"/>
        <s v="Chocolate Truffle"/>
        <s v="Black Forest"/>
        <s v="Butter Scotch"/>
        <s v="Chocochip"/>
        <s v="Fruit Cake(400gram)"/>
        <s v="Fruit Cake(200gram)"/>
        <s v="Bonfire"/>
        <s v="Choco Lava"/>
        <s v="Cupcakes"/>
        <s v="Muffins"/>
        <s v="Jar Cakes"/>
        <s v="Paneer Sandwich"/>
        <s v="Hotdog"/>
        <s v="Paneer Roll"/>
        <s v="Aloo Patiz"/>
        <s v="Paneer Patiz"/>
        <s v="Pao"/>
        <s v="Burger Buns"/>
        <s v="Pizza Base"/>
        <s v="Brown Bread"/>
      </sharedItems>
    </cacheField>
    <cacheField name="Type" numFmtId="0">
      <sharedItems count="6">
        <s v="Fresh Cream"/>
        <s v="Rich Cream"/>
        <s v="Dry Cake"/>
        <s v="Pastry"/>
        <s v="Snack"/>
        <s v="Bread Item"/>
      </sharedItems>
    </cacheField>
    <cacheField name="SKU" numFmtId="0">
      <sharedItems count="30">
        <s v="F01"/>
        <s v="F02"/>
        <s v="F03"/>
        <s v="F04"/>
        <s v="R01"/>
        <s v="R02"/>
        <s v="R03"/>
        <s v="R04"/>
        <s v="R05"/>
        <s v="D01"/>
        <s v="D02"/>
        <s v="P01"/>
        <s v="P02"/>
        <s v="P03"/>
        <s v="P04"/>
        <s v="P05"/>
        <s v="P06"/>
        <s v="P07"/>
        <s v="P08"/>
        <s v="P09"/>
        <s v="P10"/>
        <s v="S01"/>
        <s v="S02"/>
        <s v="S03"/>
        <s v="S04"/>
        <s v="S05"/>
        <s v="B01"/>
        <s v="B02"/>
        <s v="B03"/>
        <s v="B04"/>
      </sharedItems>
    </cacheField>
    <cacheField name="Cost Price" numFmtId="0">
      <sharedItems containsSemiMixedTypes="0" containsString="0" containsNumber="1" containsInteger="1" minValue="10" maxValue="320"/>
    </cacheField>
    <cacheField name="Selling Price" numFmtId="0">
      <sharedItems containsSemiMixedTypes="0" containsString="0" containsNumber="1" containsInteger="1" minValue="15" maxValue="450" count="18">
        <n v="200"/>
        <n v="300"/>
        <n v="250"/>
        <n v="350"/>
        <n v="400"/>
        <n v="450"/>
        <n v="150"/>
        <n v="40"/>
        <n v="50"/>
        <n v="55"/>
        <n v="65"/>
        <n v="70"/>
        <n v="30"/>
        <n v="20"/>
        <n v="100"/>
        <n v="15"/>
        <n v="25"/>
        <n v="35"/>
      </sharedItems>
    </cacheField>
    <cacheField name="Opening Stock" numFmtId="0">
      <sharedItems containsSemiMixedTypes="0" containsString="0" containsNumber="1" containsInteger="1" minValue="0" maxValue="57"/>
    </cacheField>
    <cacheField name="Closing Stock" numFmtId="0">
      <sharedItems containsSemiMixedTypes="0" containsString="0" containsNumber="1" containsInteger="1" minValue="0" maxValue="45"/>
    </cacheField>
    <cacheField name="Number Of Items Sold" numFmtId="0">
      <sharedItems containsSemiMixedTypes="0" containsString="0" containsNumber="1" containsInteger="1" minValue="-4" maxValue="32" count="25">
        <n v="2"/>
        <n v="3"/>
        <n v="4"/>
        <n v="1"/>
        <n v="10"/>
        <n v="32"/>
        <n v="12"/>
        <n v="22"/>
        <n v="19"/>
        <n v="6"/>
        <n v="0"/>
        <n v="18"/>
        <n v="15"/>
        <n v="7"/>
        <n v="5"/>
        <n v="8"/>
        <n v="13"/>
        <n v="16"/>
        <n v="11"/>
        <n v="17"/>
        <n v="20"/>
        <n v="14"/>
        <n v="9"/>
        <n v="-4"/>
        <n v="-1"/>
      </sharedItems>
    </cacheField>
    <cacheField name="Date " numFmtId="0">
      <sharedItems containsSemiMixedTypes="0" containsNonDate="0" containsDate="1" containsString="0" minDate="2022-12-25T00:00:00" maxDate="2023-01-26T00:00:00" count="28"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4T00:00:00"/>
        <d v="2023-01-05T00:00:00"/>
        <d v="2023-01-06T00:00:00"/>
        <d v="2023-01-07T00:00:00"/>
        <d v="2023-01-08T00:00:00"/>
        <d v="2023-01-09T00:00:00"/>
        <d v="2023-01-11T00:00:00"/>
        <d v="2023-01-12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2T00:00:00"/>
        <d v="2023-01-23T00:00:00"/>
        <d v="2023-01-25T00:00:00"/>
      </sharedItems>
    </cacheField>
    <cacheField name="day" numFmtId="0">
      <sharedItems count="8">
        <s v="Sunday"/>
        <s v="Monday"/>
        <s v="Tuesday"/>
        <s v="Wednesday"/>
        <s v="Thursday"/>
        <s v="Friday"/>
        <s v="Saturday"/>
        <s v="Wednesday "/>
      </sharedItems>
    </cacheField>
    <cacheField name="Sales " numFmtId="0">
      <sharedItems containsSemiMixedTypes="0" containsString="0" containsNumber="1" containsInteger="1" minValue="-200" maxValue="3850"/>
    </cacheField>
    <cacheField name="profit" numFmtId="0">
      <sharedItems containsSemiMixedTypes="0" containsString="0" containsNumber="1" containsInteger="1" minValue="-100" maxValue="1100" count="51">
        <n v="200"/>
        <n v="300"/>
        <n v="400"/>
        <n v="100"/>
        <n v="150"/>
        <n v="240"/>
        <n v="500"/>
        <n v="480"/>
        <n v="180"/>
        <n v="330"/>
        <n v="475"/>
        <n v="0"/>
        <n v="80"/>
        <n v="20"/>
        <n v="75"/>
        <n v="30"/>
        <n v="60"/>
        <n v="35"/>
        <n v="450"/>
        <n v="160"/>
        <n v="45"/>
        <n v="105"/>
        <n v="25"/>
        <n v="250"/>
        <n v="50"/>
        <n v="10"/>
        <n v="15"/>
        <n v="125"/>
        <n v="5"/>
        <n v="40"/>
        <n v="195"/>
        <n v="90"/>
        <n v="140"/>
        <n v="120"/>
        <n v="640"/>
        <n v="1100"/>
        <n v="600"/>
        <n v="700"/>
        <n v="350"/>
        <n v="85"/>
        <n v="70"/>
        <n v="800"/>
        <n v="270"/>
        <n v="135"/>
        <n v="275"/>
        <n v="210"/>
        <n v="325"/>
        <n v="55"/>
        <n v="175"/>
        <n v="-20"/>
        <n v="-100"/>
      </sharedItems>
    </cacheField>
    <cacheField name="Turnover Rate" numFmtId="0">
      <sharedItems containsSemiMixedTypes="0" containsString="0" containsNumber="1" minValue="-0.5" maxValue="1" count="82">
        <n v="0.33333333333333331"/>
        <n v="0.6"/>
        <n v="0.75"/>
        <n v="0.5"/>
        <n v="1"/>
        <n v="0.41666666666666669"/>
        <n v="0.95"/>
        <n v="0"/>
        <n v="0.4"/>
        <n v="0.2857142857142857"/>
        <n v="0.14285714285714285"/>
        <n v="0.25"/>
        <n v="0.63157894736842102"/>
        <n v="0.58333333333333337"/>
        <n v="0.66666666666666663"/>
        <n v="0.5714285714285714"/>
        <n v="0.3"/>
        <n v="0.1111111111111111"/>
        <n v="0.83333333333333337"/>
        <n v="0.18518518518518517"/>
        <n v="0.2"/>
        <n v="0.36363636363636365"/>
        <n v="0.42857142857142855"/>
        <n v="0.625"/>
        <n v="0.13636363636363635"/>
        <n v="0.16666666666666666"/>
        <n v="0.77777777777777779"/>
        <n v="0.15789473684210525"/>
        <n v="0.72222222222222221"/>
        <n v="0.44444444444444442"/>
        <n v="0.22222222222222221"/>
        <n v="0.7"/>
        <n v="0.125"/>
        <n v="0.18181818181818182"/>
        <n v="0.7142857142857143"/>
        <n v="0.1"/>
        <n v="0.24"/>
        <n v="0.3125"/>
        <n v="0.21052631578947367"/>
        <n v="0.72727272727272729"/>
        <n v="0.23076923076923078"/>
        <n v="0.6875"/>
        <n v="0.46666666666666667"/>
        <n v="0.73333333333333328"/>
        <n v="0.84615384615384615"/>
        <n v="0.85"/>
        <n v="0.90909090909090906"/>
        <n v="0.48571428571428571"/>
        <n v="0.41176470588235292"/>
        <n v="0.56000000000000005"/>
        <n v="0.46153846153846156"/>
        <n v="9.0909090909090912E-2"/>
        <n v="0.1875"/>
        <n v="6.25E-2"/>
        <n v="0.54545454545454541"/>
        <n v="0.30769230769230771"/>
        <n v="0.94736842105263153"/>
        <n v="0.45"/>
        <n v="0.57894736842105265"/>
        <n v="0.51851851851851849"/>
        <n v="0.875"/>
        <n v="0.375"/>
        <n v="6.6666666666666666E-2"/>
        <n v="0.27272727272727271"/>
        <n v="0.8"/>
        <n v="0.55555555555555558"/>
        <n v="0.84210526315789469"/>
        <n v="0.9285714285714286"/>
        <n v="0.21428571428571427"/>
        <n v="0.4375"/>
        <n v="0.22727272727272727"/>
        <n v="0.26666666666666666"/>
        <n v="0.15384615384615385"/>
        <n v="0.23529411764705882"/>
        <n v="0.52941176470588236"/>
        <n v="0.53846153846153844"/>
        <n v="8.3333333333333329E-2"/>
        <n v="7.1428571428571425E-2"/>
        <n v="0.9"/>
        <n v="9.5238095238095233E-2"/>
        <n v="-0.5"/>
        <n v="0.6842105263157894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jasi-PC" refreshedDate="45629.393747916663" createdVersion="1" refreshedVersion="4" recordCount="841" upgradeOnRefresh="1" xr:uid="{C1437732-9B84-49BC-ABD0-E893AF7FD71E}">
  <cacheSource type="worksheet">
    <worksheetSource ref="A1:M65536" sheet="Sheet2" r:id="rId2"/>
  </cacheSource>
  <cacheFields count="16">
    <cacheField name="Item Name" numFmtId="0">
      <sharedItems containsBlank="1" count="22">
        <s v="Pineapple"/>
        <s v="Chocolate Truffle"/>
        <s v="Black Forest"/>
        <s v="Butter Scotch"/>
        <s v="Chocochip"/>
        <s v="Fruit Cake(400gram)"/>
        <s v="Fruit Cake(200gram)"/>
        <s v="Bonfire"/>
        <s v="Choco Lava"/>
        <s v="Cupcakes"/>
        <s v="Muffins"/>
        <s v="Jar Cakes"/>
        <s v="Paneer Sandwich"/>
        <s v="Hotdog"/>
        <s v="Paneer Roll"/>
        <s v="Aloo Patiz"/>
        <s v="Paneer Patiz"/>
        <s v="Pao"/>
        <s v="Burger Buns"/>
        <s v="Pizza Base"/>
        <s v="Brown Bread"/>
        <m/>
      </sharedItems>
    </cacheField>
    <cacheField name="Type" numFmtId="0">
      <sharedItems containsBlank="1"/>
    </cacheField>
    <cacheField name="SKU" numFmtId="0">
      <sharedItems containsBlank="1"/>
    </cacheField>
    <cacheField name="Cost Price" numFmtId="0">
      <sharedItems containsString="0" containsBlank="1" containsNumber="1" containsInteger="1" minValue="10" maxValue="320"/>
    </cacheField>
    <cacheField name="Selling Price" numFmtId="0">
      <sharedItems containsString="0" containsBlank="1" containsNumber="1" containsInteger="1" minValue="15" maxValue="450"/>
    </cacheField>
    <cacheField name="Opening Stock" numFmtId="0">
      <sharedItems containsString="0" containsBlank="1" containsNumber="1" containsInteger="1" minValue="0" maxValue="57"/>
    </cacheField>
    <cacheField name="Closing Stock" numFmtId="0">
      <sharedItems containsString="0" containsBlank="1" containsNumber="1" containsInteger="1" minValue="0" maxValue="45"/>
    </cacheField>
    <cacheField name="Number Of Items Sold" numFmtId="0">
      <sharedItems containsString="0" containsBlank="1" containsNumber="1" containsInteger="1" minValue="-4" maxValue="32"/>
    </cacheField>
    <cacheField name="Date " numFmtId="0">
      <sharedItems containsNonDate="0" containsDate="1" containsString="0" containsBlank="1" minDate="2022-12-25T00:00:00" maxDate="2023-01-26T00:00:00" count="29"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4T00:00:00"/>
        <d v="2023-01-05T00:00:00"/>
        <d v="2023-01-06T00:00:00"/>
        <d v="2023-01-07T00:00:00"/>
        <d v="2023-01-08T00:00:00"/>
        <d v="2023-01-09T00:00:00"/>
        <d v="2023-01-11T00:00:00"/>
        <d v="2023-01-12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2T00:00:00"/>
        <d v="2023-01-23T00:00:00"/>
        <d v="2023-01-25T00:00:00"/>
        <m/>
      </sharedItems>
      <fieldGroup par="15"/>
    </cacheField>
    <cacheField name="day" numFmtId="0">
      <sharedItems containsBlank="1" count="9">
        <s v="Sunday"/>
        <s v="Monday"/>
        <s v="Tuesday"/>
        <s v="Wednesday"/>
        <s v="Thursday"/>
        <s v="Friday"/>
        <s v="Saturday"/>
        <s v="Wednesday "/>
        <m/>
      </sharedItems>
    </cacheField>
    <cacheField name="Sales " numFmtId="0">
      <sharedItems containsString="0" containsBlank="1" containsNumber="1" containsInteger="1" minValue="-200" maxValue="3850" count="88">
        <n v="400"/>
        <n v="900"/>
        <n v="750"/>
        <n v="600"/>
        <n v="700"/>
        <n v="1600"/>
        <n v="1400"/>
        <n v="350"/>
        <n v="450"/>
        <n v="1200"/>
        <n v="1500"/>
        <n v="1280"/>
        <n v="500"/>
        <n v="480"/>
        <n v="880"/>
        <n v="1045"/>
        <n v="390"/>
        <n v="0"/>
        <n v="540"/>
        <n v="200"/>
        <n v="70"/>
        <n v="225"/>
        <n v="150"/>
        <n v="360"/>
        <n v="210"/>
        <n v="140"/>
        <n v="250"/>
        <n v="1350"/>
        <n v="120"/>
        <n v="280"/>
        <n v="55"/>
        <n v="650"/>
        <n v="30"/>
        <n v="100"/>
        <n v="180"/>
        <n v="40"/>
        <n v="275"/>
        <n v="130"/>
        <n v="90"/>
        <n v="25"/>
        <n v="165"/>
        <n v="50"/>
        <n v="60"/>
        <n v="520"/>
        <n v="80"/>
        <n v="105"/>
        <n v="1750"/>
        <n v="240"/>
        <n v="320"/>
        <n v="75"/>
        <n v="2200"/>
        <n v="1800"/>
        <n v="3850"/>
        <n v="800"/>
        <n v="1050"/>
        <n v="110"/>
        <n v="260"/>
        <n v="255"/>
        <n v="510"/>
        <n v="420"/>
        <n v="1000"/>
        <n v="45"/>
        <n v="300"/>
        <n v="160"/>
        <n v="175"/>
        <n v="195"/>
        <n v="720"/>
        <n v="715"/>
        <n v="560"/>
        <n v="440"/>
        <n v="770"/>
        <n v="65"/>
        <n v="35"/>
        <n v="640"/>
        <n v="845"/>
        <n v="385"/>
        <n v="220"/>
        <n v="455"/>
        <n v="330"/>
        <n v="125"/>
        <n v="20"/>
        <n v="-120"/>
        <n v="-200"/>
        <n v="325"/>
        <n v="315"/>
        <n v="135"/>
        <n v="245"/>
        <m/>
      </sharedItems>
    </cacheField>
    <cacheField name="profit" numFmtId="0">
      <sharedItems containsString="0" containsBlank="1" containsNumber="1" containsInteger="1" minValue="-100" maxValue="1100"/>
    </cacheField>
    <cacheField name="Turnover Rate" numFmtId="0">
      <sharedItems containsString="0" containsBlank="1" containsNumber="1" minValue="-0.5" maxValue="1"/>
    </cacheField>
    <cacheField name="Months (Date )" numFmtId="0" databaseField="0">
      <fieldGroup base="8">
        <rangePr groupBy="months" startDate="2022-12-25T00:00:00" endDate="2023-01-26T00:00:00"/>
        <groupItems count="14">
          <s v="&lt;25-12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01-2023"/>
        </groupItems>
      </fieldGroup>
    </cacheField>
    <cacheField name="Quarters (Date )" numFmtId="0" databaseField="0">
      <fieldGroup base="8">
        <rangePr groupBy="quarters" startDate="2022-12-25T00:00:00" endDate="2023-01-26T00:00:00"/>
        <groupItems count="6">
          <s v="&lt;25-12-2022"/>
          <s v="Qtr1"/>
          <s v="Qtr2"/>
          <s v="Qtr3"/>
          <s v="Qtr4"/>
          <s v="&gt;26-01-2023"/>
        </groupItems>
      </fieldGroup>
    </cacheField>
    <cacheField name="Years (Date )" numFmtId="0" databaseField="0">
      <fieldGroup base="8">
        <rangePr groupBy="years" startDate="2022-12-25T00:00:00" endDate="2023-01-26T00:00:00"/>
        <groupItems count="4">
          <s v="&lt;25-12-2022"/>
          <s v="2022"/>
          <s v="2023"/>
          <s v="&gt;26-01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jasi-PC" refreshedDate="45721.354824189817" createdVersion="8" refreshedVersion="8" minRefreshableVersion="3" recordCount="841" xr:uid="{033A53EF-88D9-4FD3-B96E-0CF0C7BC2631}">
  <cacheSource type="worksheet">
    <worksheetSource ref="A1:L1048576" sheet="Updated Original Sales Data"/>
  </cacheSource>
  <cacheFields count="15">
    <cacheField name="Item Name" numFmtId="0">
      <sharedItems containsBlank="1"/>
    </cacheField>
    <cacheField name="Type" numFmtId="0">
      <sharedItems containsBlank="1" count="7">
        <s v="Fresh Cream"/>
        <s v="Rich Cream"/>
        <s v="Dry Cake"/>
        <s v="Pastry"/>
        <s v="Snack"/>
        <s v="Bread Item"/>
        <m/>
      </sharedItems>
    </cacheField>
    <cacheField name="SKU" numFmtId="0">
      <sharedItems containsBlank="1" count="31">
        <s v="F01"/>
        <s v="F02"/>
        <s v="F03"/>
        <s v="F04"/>
        <s v="R01"/>
        <s v="R02"/>
        <s v="R03"/>
        <s v="R04"/>
        <s v="R05"/>
        <s v="D01"/>
        <s v="D02"/>
        <s v="P01"/>
        <s v="P02"/>
        <s v="P03"/>
        <s v="P04"/>
        <s v="P05"/>
        <s v="P06"/>
        <s v="P07"/>
        <s v="P08"/>
        <s v="P09"/>
        <s v="P10"/>
        <s v="S01"/>
        <s v="S02"/>
        <s v="S03"/>
        <s v="S04"/>
        <s v="S05"/>
        <s v="B01"/>
        <s v="B02"/>
        <s v="B03"/>
        <s v="B04"/>
        <m/>
      </sharedItems>
    </cacheField>
    <cacheField name="Cost Price" numFmtId="164">
      <sharedItems containsString="0" containsBlank="1" containsNumber="1" containsInteger="1" minValue="10" maxValue="320"/>
    </cacheField>
    <cacheField name="Selling Price" numFmtId="164">
      <sharedItems containsString="0" containsBlank="1" containsNumber="1" containsInteger="1" minValue="15" maxValue="450"/>
    </cacheField>
    <cacheField name="Opening Stock" numFmtId="0">
      <sharedItems containsString="0" containsBlank="1" containsNumber="1" containsInteger="1" minValue="0" maxValue="57"/>
    </cacheField>
    <cacheField name="Closing Stock" numFmtId="0">
      <sharedItems containsString="0" containsBlank="1" containsNumber="1" containsInteger="1" minValue="0" maxValue="45"/>
    </cacheField>
    <cacheField name="Number Of Items Sold" numFmtId="0">
      <sharedItems containsString="0" containsBlank="1" containsNumber="1" containsInteger="1" minValue="-4" maxValue="32"/>
    </cacheField>
    <cacheField name="Date " numFmtId="0">
      <sharedItems containsNonDate="0" containsDate="1" containsString="0" containsBlank="1" minDate="2022-12-25T00:00:00" maxDate="2023-01-26T00:00:00" count="29"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4T00:00:00"/>
        <d v="2023-01-05T00:00:00"/>
        <d v="2023-01-06T00:00:00"/>
        <d v="2023-01-07T00:00:00"/>
        <d v="2023-01-08T00:00:00"/>
        <d v="2023-01-09T00:00:00"/>
        <d v="2023-01-11T00:00:00"/>
        <d v="2023-01-12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2T00:00:00"/>
        <d v="2023-01-23T00:00:00"/>
        <d v="2023-01-25T00:00:00"/>
        <m/>
      </sharedItems>
      <fieldGroup par="14"/>
    </cacheField>
    <cacheField name="day" numFmtId="0">
      <sharedItems containsBlank="1" count="9">
        <s v="Sunday"/>
        <s v="Monday"/>
        <s v="Tuesday"/>
        <s v="Wednesday"/>
        <s v="Thursday"/>
        <s v="Friday"/>
        <s v="Saturday"/>
        <s v="Wednesday "/>
        <m/>
      </sharedItems>
    </cacheField>
    <cacheField name="Sales " numFmtId="164">
      <sharedItems containsString="0" containsBlank="1" containsNumber="1" containsInteger="1" minValue="-200" maxValue="3850" count="88">
        <n v="400"/>
        <n v="900"/>
        <n v="750"/>
        <n v="600"/>
        <n v="700"/>
        <n v="1600"/>
        <n v="1400"/>
        <n v="350"/>
        <n v="450"/>
        <n v="1200"/>
        <n v="1500"/>
        <n v="1280"/>
        <n v="500"/>
        <n v="480"/>
        <n v="880"/>
        <n v="1045"/>
        <n v="390"/>
        <n v="0"/>
        <n v="540"/>
        <n v="200"/>
        <n v="70"/>
        <n v="225"/>
        <n v="150"/>
        <n v="360"/>
        <n v="210"/>
        <n v="140"/>
        <n v="250"/>
        <n v="1350"/>
        <n v="120"/>
        <n v="280"/>
        <n v="55"/>
        <n v="650"/>
        <n v="30"/>
        <n v="100"/>
        <n v="180"/>
        <n v="40"/>
        <n v="275"/>
        <n v="130"/>
        <n v="90"/>
        <n v="25"/>
        <n v="165"/>
        <n v="50"/>
        <n v="60"/>
        <n v="520"/>
        <n v="80"/>
        <n v="105"/>
        <n v="1750"/>
        <n v="240"/>
        <n v="320"/>
        <n v="75"/>
        <n v="2200"/>
        <n v="1800"/>
        <n v="3850"/>
        <n v="800"/>
        <n v="1050"/>
        <n v="110"/>
        <n v="260"/>
        <n v="255"/>
        <n v="510"/>
        <n v="420"/>
        <n v="1000"/>
        <n v="45"/>
        <n v="300"/>
        <n v="160"/>
        <n v="175"/>
        <n v="195"/>
        <n v="720"/>
        <n v="715"/>
        <n v="560"/>
        <n v="440"/>
        <n v="770"/>
        <n v="65"/>
        <n v="35"/>
        <n v="640"/>
        <n v="845"/>
        <n v="385"/>
        <n v="220"/>
        <n v="455"/>
        <n v="330"/>
        <n v="125"/>
        <n v="20"/>
        <n v="-120"/>
        <n v="-200"/>
        <n v="325"/>
        <n v="315"/>
        <n v="135"/>
        <n v="245"/>
        <m/>
      </sharedItems>
    </cacheField>
    <cacheField name="profit" numFmtId="0">
      <sharedItems containsString="0" containsBlank="1" containsNumber="1" containsInteger="1" minValue="-100" maxValue="1100"/>
    </cacheField>
    <cacheField name="Months (Date )" numFmtId="0" databaseField="0">
      <fieldGroup base="8">
        <rangePr groupBy="months" startDate="2022-12-25T00:00:00" endDate="2023-01-26T00:00:00"/>
        <groupItems count="14">
          <s v="&lt;25-12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01-2023"/>
        </groupItems>
      </fieldGroup>
    </cacheField>
    <cacheField name="Quarters (Date )" numFmtId="0" databaseField="0">
      <fieldGroup base="8">
        <rangePr groupBy="quarters" startDate="2022-12-25T00:00:00" endDate="2023-01-26T00:00:00"/>
        <groupItems count="6">
          <s v="&lt;25-12-2022"/>
          <s v="Qtr1"/>
          <s v="Qtr2"/>
          <s v="Qtr3"/>
          <s v="Qtr4"/>
          <s v="&gt;26-01-2023"/>
        </groupItems>
      </fieldGroup>
    </cacheField>
    <cacheField name="Years (Date )" numFmtId="0" databaseField="0">
      <fieldGroup base="8">
        <rangePr groupBy="years" startDate="2022-12-25T00:00:00" endDate="2023-01-26T00:00:00"/>
        <groupItems count="4">
          <s v="&lt;25-12-2022"/>
          <s v="2022"/>
          <s v="2023"/>
          <s v="&gt;26-01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jasi-PC" refreshedDate="45721.393827893517" createdVersion="8" refreshedVersion="8" minRefreshableVersion="3" recordCount="840" xr:uid="{CB688F54-8D02-4BD4-9944-5060FEB91815}">
  <cacheSource type="worksheet">
    <worksheetSource ref="A1:L841" sheet="Updated Original Sales Data"/>
  </cacheSource>
  <cacheFields count="12">
    <cacheField name="Item Name" numFmtId="0">
      <sharedItems/>
    </cacheField>
    <cacheField name="Type" numFmtId="0">
      <sharedItems count="6">
        <s v="Fresh Cream"/>
        <s v="Rich Cream"/>
        <s v="Dry Cake"/>
        <s v="Pastry"/>
        <s v="Snack"/>
        <s v="Bread Item"/>
      </sharedItems>
    </cacheField>
    <cacheField name="SKU" numFmtId="0">
      <sharedItems count="30">
        <s v="F01"/>
        <s v="F02"/>
        <s v="F03"/>
        <s v="F04"/>
        <s v="R01"/>
        <s v="R02"/>
        <s v="R03"/>
        <s v="R04"/>
        <s v="R05"/>
        <s v="D01"/>
        <s v="D02"/>
        <s v="P01"/>
        <s v="P02"/>
        <s v="P03"/>
        <s v="P04"/>
        <s v="P05"/>
        <s v="P06"/>
        <s v="P07"/>
        <s v="P08"/>
        <s v="P09"/>
        <s v="P10"/>
        <s v="S01"/>
        <s v="S02"/>
        <s v="S03"/>
        <s v="S04"/>
        <s v="S05"/>
        <s v="B01"/>
        <s v="B02"/>
        <s v="B03"/>
        <s v="B04"/>
      </sharedItems>
    </cacheField>
    <cacheField name="Cost Price" numFmtId="164">
      <sharedItems containsSemiMixedTypes="0" containsString="0" containsNumber="1" containsInteger="1" minValue="10" maxValue="320"/>
    </cacheField>
    <cacheField name="Selling Price" numFmtId="164">
      <sharedItems containsSemiMixedTypes="0" containsString="0" containsNumber="1" containsInteger="1" minValue="15" maxValue="450"/>
    </cacheField>
    <cacheField name="Opening Stock" numFmtId="0">
      <sharedItems containsSemiMixedTypes="0" containsString="0" containsNumber="1" containsInteger="1" minValue="0" maxValue="57"/>
    </cacheField>
    <cacheField name="Closing Stock" numFmtId="0">
      <sharedItems containsSemiMixedTypes="0" containsString="0" containsNumber="1" containsInteger="1" minValue="0" maxValue="45"/>
    </cacheField>
    <cacheField name="Number Of Items Sold" numFmtId="0">
      <sharedItems containsSemiMixedTypes="0" containsString="0" containsNumber="1" containsInteger="1" minValue="-4" maxValue="32"/>
    </cacheField>
    <cacheField name="Date " numFmtId="165">
      <sharedItems containsSemiMixedTypes="0" containsNonDate="0" containsDate="1" containsString="0" minDate="2022-12-25T00:00:00" maxDate="2023-01-26T00:00:00" count="28"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4T00:00:00"/>
        <d v="2023-01-05T00:00:00"/>
        <d v="2023-01-06T00:00:00"/>
        <d v="2023-01-07T00:00:00"/>
        <d v="2023-01-08T00:00:00"/>
        <d v="2023-01-09T00:00:00"/>
        <d v="2023-01-11T00:00:00"/>
        <d v="2023-01-12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2T00:00:00"/>
        <d v="2023-01-23T00:00:00"/>
        <d v="2023-01-25T00:00:00"/>
      </sharedItems>
    </cacheField>
    <cacheField name="day" numFmtId="0">
      <sharedItems/>
    </cacheField>
    <cacheField name="Sales " numFmtId="164">
      <sharedItems containsSemiMixedTypes="0" containsString="0" containsNumber="1" containsInteger="1" minValue="-200" maxValue="3850" count="87">
        <n v="400"/>
        <n v="900"/>
        <n v="750"/>
        <n v="600"/>
        <n v="700"/>
        <n v="1600"/>
        <n v="1400"/>
        <n v="350"/>
        <n v="450"/>
        <n v="1200"/>
        <n v="1500"/>
        <n v="1280"/>
        <n v="500"/>
        <n v="480"/>
        <n v="880"/>
        <n v="1045"/>
        <n v="390"/>
        <n v="0"/>
        <n v="540"/>
        <n v="200"/>
        <n v="70"/>
        <n v="225"/>
        <n v="150"/>
        <n v="360"/>
        <n v="210"/>
        <n v="140"/>
        <n v="250"/>
        <n v="1350"/>
        <n v="120"/>
        <n v="280"/>
        <n v="55"/>
        <n v="650"/>
        <n v="30"/>
        <n v="100"/>
        <n v="180"/>
        <n v="40"/>
        <n v="275"/>
        <n v="130"/>
        <n v="90"/>
        <n v="25"/>
        <n v="165"/>
        <n v="50"/>
        <n v="60"/>
        <n v="520"/>
        <n v="80"/>
        <n v="105"/>
        <n v="1750"/>
        <n v="240"/>
        <n v="320"/>
        <n v="75"/>
        <n v="2200"/>
        <n v="1800"/>
        <n v="3850"/>
        <n v="800"/>
        <n v="1050"/>
        <n v="110"/>
        <n v="260"/>
        <n v="255"/>
        <n v="510"/>
        <n v="420"/>
        <n v="1000"/>
        <n v="45"/>
        <n v="300"/>
        <n v="160"/>
        <n v="175"/>
        <n v="195"/>
        <n v="720"/>
        <n v="715"/>
        <n v="560"/>
        <n v="440"/>
        <n v="770"/>
        <n v="65"/>
        <n v="35"/>
        <n v="640"/>
        <n v="845"/>
        <n v="385"/>
        <n v="220"/>
        <n v="455"/>
        <n v="330"/>
        <n v="125"/>
        <n v="20"/>
        <n v="-120"/>
        <n v="-200"/>
        <n v="325"/>
        <n v="315"/>
        <n v="135"/>
        <n v="245"/>
      </sharedItems>
    </cacheField>
    <cacheField name="profit" numFmtId="164">
      <sharedItems containsSemiMixedTypes="0" containsString="0" containsNumber="1" containsInteger="1" minValue="-100" maxValue="1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0">
  <r>
    <x v="0"/>
    <x v="0"/>
    <x v="0"/>
    <n v="100"/>
    <x v="0"/>
    <n v="6"/>
    <n v="4"/>
    <x v="0"/>
    <x v="0"/>
    <x v="0"/>
    <n v="400"/>
    <x v="0"/>
    <x v="0"/>
  </r>
  <r>
    <x v="1"/>
    <x v="0"/>
    <x v="1"/>
    <n v="200"/>
    <x v="1"/>
    <n v="5"/>
    <n v="2"/>
    <x v="1"/>
    <x v="0"/>
    <x v="0"/>
    <n v="900"/>
    <x v="1"/>
    <x v="1"/>
  </r>
  <r>
    <x v="2"/>
    <x v="0"/>
    <x v="2"/>
    <n v="150"/>
    <x v="2"/>
    <n v="4"/>
    <n v="1"/>
    <x v="1"/>
    <x v="0"/>
    <x v="0"/>
    <n v="750"/>
    <x v="1"/>
    <x v="2"/>
  </r>
  <r>
    <x v="3"/>
    <x v="0"/>
    <x v="3"/>
    <n v="100"/>
    <x v="0"/>
    <n v="5"/>
    <n v="2"/>
    <x v="1"/>
    <x v="0"/>
    <x v="0"/>
    <n v="600"/>
    <x v="1"/>
    <x v="1"/>
  </r>
  <r>
    <x v="0"/>
    <x v="1"/>
    <x v="4"/>
    <n v="250"/>
    <x v="3"/>
    <n v="4"/>
    <n v="2"/>
    <x v="0"/>
    <x v="0"/>
    <x v="0"/>
    <n v="700"/>
    <x v="0"/>
    <x v="3"/>
  </r>
  <r>
    <x v="1"/>
    <x v="1"/>
    <x v="5"/>
    <n v="300"/>
    <x v="4"/>
    <n v="4"/>
    <n v="0"/>
    <x v="2"/>
    <x v="0"/>
    <x v="0"/>
    <n v="1600"/>
    <x v="2"/>
    <x v="4"/>
  </r>
  <r>
    <x v="2"/>
    <x v="1"/>
    <x v="6"/>
    <n v="250"/>
    <x v="3"/>
    <n v="4"/>
    <n v="0"/>
    <x v="2"/>
    <x v="0"/>
    <x v="0"/>
    <n v="1400"/>
    <x v="2"/>
    <x v="4"/>
  </r>
  <r>
    <x v="3"/>
    <x v="1"/>
    <x v="7"/>
    <n v="250"/>
    <x v="3"/>
    <n v="3"/>
    <n v="2"/>
    <x v="3"/>
    <x v="0"/>
    <x v="0"/>
    <n v="350"/>
    <x v="3"/>
    <x v="0"/>
  </r>
  <r>
    <x v="4"/>
    <x v="1"/>
    <x v="8"/>
    <n v="300"/>
    <x v="5"/>
    <n v="2"/>
    <n v="1"/>
    <x v="3"/>
    <x v="0"/>
    <x v="0"/>
    <n v="450"/>
    <x v="4"/>
    <x v="3"/>
  </r>
  <r>
    <x v="5"/>
    <x v="2"/>
    <x v="9"/>
    <n v="320"/>
    <x v="4"/>
    <n v="6"/>
    <n v="3"/>
    <x v="1"/>
    <x v="0"/>
    <x v="0"/>
    <n v="1200"/>
    <x v="5"/>
    <x v="3"/>
  </r>
  <r>
    <x v="6"/>
    <x v="2"/>
    <x v="10"/>
    <n v="100"/>
    <x v="6"/>
    <n v="10"/>
    <n v="0"/>
    <x v="4"/>
    <x v="0"/>
    <x v="0"/>
    <n v="1500"/>
    <x v="6"/>
    <x v="4"/>
  </r>
  <r>
    <x v="0"/>
    <x v="3"/>
    <x v="11"/>
    <n v="25"/>
    <x v="7"/>
    <n v="32"/>
    <n v="0"/>
    <x v="5"/>
    <x v="0"/>
    <x v="0"/>
    <n v="1280"/>
    <x v="7"/>
    <x v="4"/>
  </r>
  <r>
    <x v="1"/>
    <x v="3"/>
    <x v="12"/>
    <n v="30"/>
    <x v="8"/>
    <n v="24"/>
    <n v="14"/>
    <x v="4"/>
    <x v="0"/>
    <x v="0"/>
    <n v="500"/>
    <x v="0"/>
    <x v="5"/>
  </r>
  <r>
    <x v="3"/>
    <x v="3"/>
    <x v="13"/>
    <n v="25"/>
    <x v="7"/>
    <n v="12"/>
    <n v="0"/>
    <x v="6"/>
    <x v="0"/>
    <x v="0"/>
    <n v="480"/>
    <x v="8"/>
    <x v="4"/>
  </r>
  <r>
    <x v="2"/>
    <x v="3"/>
    <x v="14"/>
    <n v="25"/>
    <x v="7"/>
    <n v="22"/>
    <n v="0"/>
    <x v="7"/>
    <x v="0"/>
    <x v="0"/>
    <n v="880"/>
    <x v="9"/>
    <x v="4"/>
  </r>
  <r>
    <x v="4"/>
    <x v="3"/>
    <x v="15"/>
    <n v="30"/>
    <x v="9"/>
    <n v="20"/>
    <n v="1"/>
    <x v="8"/>
    <x v="0"/>
    <x v="0"/>
    <n v="1045"/>
    <x v="10"/>
    <x v="6"/>
  </r>
  <r>
    <x v="7"/>
    <x v="3"/>
    <x v="16"/>
    <n v="40"/>
    <x v="10"/>
    <n v="8"/>
    <n v="2"/>
    <x v="9"/>
    <x v="0"/>
    <x v="0"/>
    <n v="390"/>
    <x v="4"/>
    <x v="2"/>
  </r>
  <r>
    <x v="8"/>
    <x v="3"/>
    <x v="17"/>
    <n v="50"/>
    <x v="11"/>
    <n v="0"/>
    <n v="0"/>
    <x v="10"/>
    <x v="0"/>
    <x v="0"/>
    <n v="0"/>
    <x v="11"/>
    <x v="7"/>
  </r>
  <r>
    <x v="9"/>
    <x v="3"/>
    <x v="18"/>
    <n v="20"/>
    <x v="12"/>
    <n v="45"/>
    <n v="27"/>
    <x v="11"/>
    <x v="0"/>
    <x v="0"/>
    <n v="540"/>
    <x v="8"/>
    <x v="8"/>
  </r>
  <r>
    <x v="10"/>
    <x v="3"/>
    <x v="19"/>
    <n v="10"/>
    <x v="13"/>
    <n v="0"/>
    <n v="0"/>
    <x v="10"/>
    <x v="0"/>
    <x v="0"/>
    <n v="0"/>
    <x v="11"/>
    <x v="7"/>
  </r>
  <r>
    <x v="11"/>
    <x v="3"/>
    <x v="20"/>
    <n v="60"/>
    <x v="14"/>
    <n v="7"/>
    <n v="5"/>
    <x v="0"/>
    <x v="0"/>
    <x v="0"/>
    <n v="200"/>
    <x v="12"/>
    <x v="9"/>
  </r>
  <r>
    <x v="12"/>
    <x v="4"/>
    <x v="21"/>
    <n v="50"/>
    <x v="11"/>
    <n v="7"/>
    <n v="6"/>
    <x v="3"/>
    <x v="0"/>
    <x v="0"/>
    <n v="70"/>
    <x v="13"/>
    <x v="10"/>
  </r>
  <r>
    <x v="13"/>
    <x v="4"/>
    <x v="22"/>
    <n v="45"/>
    <x v="10"/>
    <n v="3"/>
    <n v="3"/>
    <x v="10"/>
    <x v="0"/>
    <x v="0"/>
    <n v="0"/>
    <x v="11"/>
    <x v="7"/>
  </r>
  <r>
    <x v="14"/>
    <x v="4"/>
    <x v="23"/>
    <n v="50"/>
    <x v="11"/>
    <n v="4"/>
    <n v="3"/>
    <x v="3"/>
    <x v="0"/>
    <x v="0"/>
    <n v="70"/>
    <x v="13"/>
    <x v="11"/>
  </r>
  <r>
    <x v="15"/>
    <x v="4"/>
    <x v="24"/>
    <n v="10"/>
    <x v="15"/>
    <n v="15"/>
    <n v="0"/>
    <x v="12"/>
    <x v="0"/>
    <x v="0"/>
    <n v="225"/>
    <x v="14"/>
    <x v="4"/>
  </r>
  <r>
    <x v="16"/>
    <x v="4"/>
    <x v="25"/>
    <n v="20"/>
    <x v="16"/>
    <n v="10"/>
    <n v="4"/>
    <x v="9"/>
    <x v="0"/>
    <x v="0"/>
    <n v="150"/>
    <x v="15"/>
    <x v="1"/>
  </r>
  <r>
    <x v="17"/>
    <x v="5"/>
    <x v="26"/>
    <n v="25"/>
    <x v="12"/>
    <n v="19"/>
    <n v="7"/>
    <x v="6"/>
    <x v="0"/>
    <x v="0"/>
    <n v="360"/>
    <x v="16"/>
    <x v="12"/>
  </r>
  <r>
    <x v="18"/>
    <x v="5"/>
    <x v="27"/>
    <n v="25"/>
    <x v="12"/>
    <n v="10"/>
    <n v="10"/>
    <x v="10"/>
    <x v="0"/>
    <x v="0"/>
    <n v="0"/>
    <x v="11"/>
    <x v="7"/>
  </r>
  <r>
    <x v="19"/>
    <x v="5"/>
    <x v="28"/>
    <n v="25"/>
    <x v="12"/>
    <n v="12"/>
    <n v="5"/>
    <x v="13"/>
    <x v="0"/>
    <x v="0"/>
    <n v="210"/>
    <x v="17"/>
    <x v="13"/>
  </r>
  <r>
    <x v="20"/>
    <x v="5"/>
    <x v="29"/>
    <n v="30"/>
    <x v="17"/>
    <n v="8"/>
    <n v="4"/>
    <x v="2"/>
    <x v="0"/>
    <x v="0"/>
    <n v="140"/>
    <x v="13"/>
    <x v="3"/>
  </r>
  <r>
    <x v="0"/>
    <x v="0"/>
    <x v="0"/>
    <n v="100"/>
    <x v="0"/>
    <n v="4"/>
    <n v="3"/>
    <x v="3"/>
    <x v="1"/>
    <x v="1"/>
    <n v="200"/>
    <x v="3"/>
    <x v="11"/>
  </r>
  <r>
    <x v="1"/>
    <x v="0"/>
    <x v="1"/>
    <n v="200"/>
    <x v="1"/>
    <n v="2"/>
    <n v="0"/>
    <x v="0"/>
    <x v="1"/>
    <x v="1"/>
    <n v="600"/>
    <x v="0"/>
    <x v="4"/>
  </r>
  <r>
    <x v="2"/>
    <x v="0"/>
    <x v="2"/>
    <n v="150"/>
    <x v="2"/>
    <n v="1"/>
    <n v="0"/>
    <x v="3"/>
    <x v="1"/>
    <x v="1"/>
    <n v="250"/>
    <x v="3"/>
    <x v="4"/>
  </r>
  <r>
    <x v="3"/>
    <x v="0"/>
    <x v="3"/>
    <n v="100"/>
    <x v="0"/>
    <n v="2"/>
    <n v="1"/>
    <x v="3"/>
    <x v="1"/>
    <x v="1"/>
    <n v="200"/>
    <x v="3"/>
    <x v="3"/>
  </r>
  <r>
    <x v="0"/>
    <x v="1"/>
    <x v="4"/>
    <n v="250"/>
    <x v="3"/>
    <n v="3"/>
    <n v="1"/>
    <x v="0"/>
    <x v="1"/>
    <x v="1"/>
    <n v="700"/>
    <x v="0"/>
    <x v="14"/>
  </r>
  <r>
    <x v="1"/>
    <x v="1"/>
    <x v="5"/>
    <n v="300"/>
    <x v="4"/>
    <n v="1"/>
    <n v="0"/>
    <x v="3"/>
    <x v="1"/>
    <x v="1"/>
    <n v="400"/>
    <x v="3"/>
    <x v="4"/>
  </r>
  <r>
    <x v="2"/>
    <x v="1"/>
    <x v="6"/>
    <n v="250"/>
    <x v="3"/>
    <n v="3"/>
    <n v="1"/>
    <x v="0"/>
    <x v="1"/>
    <x v="1"/>
    <n v="700"/>
    <x v="0"/>
    <x v="14"/>
  </r>
  <r>
    <x v="3"/>
    <x v="1"/>
    <x v="7"/>
    <n v="250"/>
    <x v="3"/>
    <n v="2"/>
    <n v="1"/>
    <x v="3"/>
    <x v="1"/>
    <x v="1"/>
    <n v="350"/>
    <x v="3"/>
    <x v="3"/>
  </r>
  <r>
    <x v="4"/>
    <x v="1"/>
    <x v="8"/>
    <n v="300"/>
    <x v="5"/>
    <n v="3"/>
    <n v="0"/>
    <x v="1"/>
    <x v="1"/>
    <x v="1"/>
    <n v="1350"/>
    <x v="18"/>
    <x v="4"/>
  </r>
  <r>
    <x v="5"/>
    <x v="2"/>
    <x v="9"/>
    <n v="320"/>
    <x v="4"/>
    <n v="3"/>
    <n v="2"/>
    <x v="3"/>
    <x v="1"/>
    <x v="1"/>
    <n v="400"/>
    <x v="12"/>
    <x v="0"/>
  </r>
  <r>
    <x v="6"/>
    <x v="2"/>
    <x v="10"/>
    <n v="100"/>
    <x v="6"/>
    <n v="0"/>
    <n v="0"/>
    <x v="10"/>
    <x v="1"/>
    <x v="1"/>
    <n v="0"/>
    <x v="11"/>
    <x v="7"/>
  </r>
  <r>
    <x v="0"/>
    <x v="3"/>
    <x v="11"/>
    <n v="25"/>
    <x v="7"/>
    <n v="10"/>
    <n v="5"/>
    <x v="14"/>
    <x v="1"/>
    <x v="1"/>
    <n v="200"/>
    <x v="14"/>
    <x v="3"/>
  </r>
  <r>
    <x v="1"/>
    <x v="3"/>
    <x v="12"/>
    <n v="30"/>
    <x v="8"/>
    <n v="14"/>
    <n v="6"/>
    <x v="15"/>
    <x v="1"/>
    <x v="1"/>
    <n v="400"/>
    <x v="19"/>
    <x v="15"/>
  </r>
  <r>
    <x v="3"/>
    <x v="3"/>
    <x v="13"/>
    <n v="25"/>
    <x v="7"/>
    <n v="10"/>
    <n v="7"/>
    <x v="1"/>
    <x v="1"/>
    <x v="1"/>
    <n v="120"/>
    <x v="20"/>
    <x v="16"/>
  </r>
  <r>
    <x v="2"/>
    <x v="3"/>
    <x v="14"/>
    <n v="25"/>
    <x v="7"/>
    <n v="12"/>
    <n v="5"/>
    <x v="13"/>
    <x v="1"/>
    <x v="1"/>
    <n v="280"/>
    <x v="21"/>
    <x v="13"/>
  </r>
  <r>
    <x v="4"/>
    <x v="3"/>
    <x v="15"/>
    <n v="30"/>
    <x v="9"/>
    <n v="9"/>
    <n v="8"/>
    <x v="3"/>
    <x v="1"/>
    <x v="1"/>
    <n v="55"/>
    <x v="22"/>
    <x v="17"/>
  </r>
  <r>
    <x v="7"/>
    <x v="3"/>
    <x v="16"/>
    <n v="40"/>
    <x v="10"/>
    <n v="12"/>
    <n v="2"/>
    <x v="4"/>
    <x v="1"/>
    <x v="1"/>
    <n v="650"/>
    <x v="23"/>
    <x v="18"/>
  </r>
  <r>
    <x v="8"/>
    <x v="3"/>
    <x v="17"/>
    <n v="50"/>
    <x v="11"/>
    <n v="0"/>
    <n v="0"/>
    <x v="10"/>
    <x v="1"/>
    <x v="1"/>
    <n v="0"/>
    <x v="11"/>
    <x v="7"/>
  </r>
  <r>
    <x v="9"/>
    <x v="3"/>
    <x v="18"/>
    <n v="20"/>
    <x v="12"/>
    <n v="27"/>
    <n v="22"/>
    <x v="14"/>
    <x v="1"/>
    <x v="1"/>
    <n v="150"/>
    <x v="24"/>
    <x v="19"/>
  </r>
  <r>
    <x v="10"/>
    <x v="3"/>
    <x v="19"/>
    <n v="10"/>
    <x v="13"/>
    <n v="0"/>
    <n v="0"/>
    <x v="10"/>
    <x v="1"/>
    <x v="1"/>
    <n v="0"/>
    <x v="11"/>
    <x v="7"/>
  </r>
  <r>
    <x v="11"/>
    <x v="3"/>
    <x v="20"/>
    <n v="60"/>
    <x v="14"/>
    <n v="5"/>
    <n v="5"/>
    <x v="10"/>
    <x v="1"/>
    <x v="1"/>
    <n v="0"/>
    <x v="11"/>
    <x v="7"/>
  </r>
  <r>
    <x v="12"/>
    <x v="4"/>
    <x v="21"/>
    <n v="50"/>
    <x v="11"/>
    <n v="6"/>
    <n v="6"/>
    <x v="10"/>
    <x v="1"/>
    <x v="1"/>
    <n v="0"/>
    <x v="11"/>
    <x v="7"/>
  </r>
  <r>
    <x v="13"/>
    <x v="4"/>
    <x v="22"/>
    <n v="45"/>
    <x v="10"/>
    <n v="4"/>
    <n v="4"/>
    <x v="10"/>
    <x v="1"/>
    <x v="1"/>
    <n v="0"/>
    <x v="11"/>
    <x v="7"/>
  </r>
  <r>
    <x v="14"/>
    <x v="4"/>
    <x v="23"/>
    <n v="50"/>
    <x v="11"/>
    <n v="3"/>
    <n v="3"/>
    <x v="10"/>
    <x v="1"/>
    <x v="1"/>
    <n v="0"/>
    <x v="11"/>
    <x v="7"/>
  </r>
  <r>
    <x v="15"/>
    <x v="4"/>
    <x v="24"/>
    <n v="10"/>
    <x v="15"/>
    <n v="10"/>
    <n v="8"/>
    <x v="0"/>
    <x v="1"/>
    <x v="1"/>
    <n v="30"/>
    <x v="25"/>
    <x v="20"/>
  </r>
  <r>
    <x v="16"/>
    <x v="4"/>
    <x v="25"/>
    <n v="20"/>
    <x v="16"/>
    <n v="11"/>
    <n v="7"/>
    <x v="2"/>
    <x v="1"/>
    <x v="1"/>
    <n v="100"/>
    <x v="13"/>
    <x v="21"/>
  </r>
  <r>
    <x v="17"/>
    <x v="5"/>
    <x v="26"/>
    <n v="25"/>
    <x v="12"/>
    <n v="7"/>
    <n v="0"/>
    <x v="13"/>
    <x v="1"/>
    <x v="1"/>
    <n v="210"/>
    <x v="17"/>
    <x v="4"/>
  </r>
  <r>
    <x v="18"/>
    <x v="5"/>
    <x v="27"/>
    <n v="25"/>
    <x v="12"/>
    <n v="10"/>
    <n v="4"/>
    <x v="9"/>
    <x v="1"/>
    <x v="1"/>
    <n v="180"/>
    <x v="15"/>
    <x v="1"/>
  </r>
  <r>
    <x v="19"/>
    <x v="5"/>
    <x v="28"/>
    <n v="25"/>
    <x v="12"/>
    <n v="5"/>
    <n v="0"/>
    <x v="14"/>
    <x v="1"/>
    <x v="1"/>
    <n v="150"/>
    <x v="22"/>
    <x v="4"/>
  </r>
  <r>
    <x v="20"/>
    <x v="5"/>
    <x v="29"/>
    <n v="30"/>
    <x v="17"/>
    <n v="4"/>
    <n v="0"/>
    <x v="2"/>
    <x v="1"/>
    <x v="1"/>
    <n v="140"/>
    <x v="13"/>
    <x v="4"/>
  </r>
  <r>
    <x v="0"/>
    <x v="0"/>
    <x v="0"/>
    <n v="100"/>
    <x v="0"/>
    <n v="3"/>
    <n v="2"/>
    <x v="3"/>
    <x v="2"/>
    <x v="2"/>
    <n v="200"/>
    <x v="3"/>
    <x v="0"/>
  </r>
  <r>
    <x v="1"/>
    <x v="0"/>
    <x v="1"/>
    <n v="200"/>
    <x v="1"/>
    <n v="0"/>
    <n v="0"/>
    <x v="10"/>
    <x v="2"/>
    <x v="2"/>
    <n v="0"/>
    <x v="11"/>
    <x v="7"/>
  </r>
  <r>
    <x v="2"/>
    <x v="0"/>
    <x v="2"/>
    <n v="150"/>
    <x v="2"/>
    <n v="0"/>
    <n v="0"/>
    <x v="10"/>
    <x v="2"/>
    <x v="2"/>
    <n v="0"/>
    <x v="11"/>
    <x v="7"/>
  </r>
  <r>
    <x v="3"/>
    <x v="0"/>
    <x v="3"/>
    <n v="100"/>
    <x v="0"/>
    <n v="1"/>
    <n v="1"/>
    <x v="10"/>
    <x v="2"/>
    <x v="2"/>
    <n v="0"/>
    <x v="11"/>
    <x v="7"/>
  </r>
  <r>
    <x v="0"/>
    <x v="1"/>
    <x v="4"/>
    <n v="250"/>
    <x v="3"/>
    <n v="1"/>
    <n v="1"/>
    <x v="10"/>
    <x v="2"/>
    <x v="2"/>
    <n v="0"/>
    <x v="11"/>
    <x v="7"/>
  </r>
  <r>
    <x v="1"/>
    <x v="1"/>
    <x v="5"/>
    <n v="300"/>
    <x v="4"/>
    <n v="1"/>
    <n v="1"/>
    <x v="10"/>
    <x v="2"/>
    <x v="2"/>
    <n v="0"/>
    <x v="11"/>
    <x v="7"/>
  </r>
  <r>
    <x v="2"/>
    <x v="1"/>
    <x v="6"/>
    <n v="250"/>
    <x v="3"/>
    <n v="2"/>
    <n v="2"/>
    <x v="10"/>
    <x v="2"/>
    <x v="2"/>
    <n v="0"/>
    <x v="11"/>
    <x v="7"/>
  </r>
  <r>
    <x v="3"/>
    <x v="1"/>
    <x v="7"/>
    <n v="250"/>
    <x v="3"/>
    <n v="2"/>
    <n v="1"/>
    <x v="3"/>
    <x v="2"/>
    <x v="2"/>
    <n v="350"/>
    <x v="3"/>
    <x v="3"/>
  </r>
  <r>
    <x v="4"/>
    <x v="1"/>
    <x v="8"/>
    <n v="300"/>
    <x v="5"/>
    <n v="0"/>
    <n v="0"/>
    <x v="10"/>
    <x v="2"/>
    <x v="2"/>
    <n v="0"/>
    <x v="11"/>
    <x v="7"/>
  </r>
  <r>
    <x v="5"/>
    <x v="2"/>
    <x v="9"/>
    <n v="320"/>
    <x v="4"/>
    <n v="2"/>
    <n v="2"/>
    <x v="10"/>
    <x v="2"/>
    <x v="2"/>
    <n v="0"/>
    <x v="11"/>
    <x v="7"/>
  </r>
  <r>
    <x v="6"/>
    <x v="2"/>
    <x v="10"/>
    <n v="100"/>
    <x v="6"/>
    <n v="0"/>
    <n v="0"/>
    <x v="10"/>
    <x v="2"/>
    <x v="2"/>
    <n v="0"/>
    <x v="11"/>
    <x v="7"/>
  </r>
  <r>
    <x v="0"/>
    <x v="3"/>
    <x v="11"/>
    <n v="25"/>
    <x v="7"/>
    <n v="5"/>
    <n v="4"/>
    <x v="3"/>
    <x v="2"/>
    <x v="2"/>
    <n v="40"/>
    <x v="26"/>
    <x v="20"/>
  </r>
  <r>
    <x v="1"/>
    <x v="3"/>
    <x v="12"/>
    <n v="30"/>
    <x v="8"/>
    <n v="6"/>
    <n v="2"/>
    <x v="2"/>
    <x v="2"/>
    <x v="2"/>
    <n v="200"/>
    <x v="12"/>
    <x v="14"/>
  </r>
  <r>
    <x v="3"/>
    <x v="3"/>
    <x v="13"/>
    <n v="25"/>
    <x v="7"/>
    <n v="7"/>
    <n v="4"/>
    <x v="1"/>
    <x v="2"/>
    <x v="2"/>
    <n v="120"/>
    <x v="20"/>
    <x v="22"/>
  </r>
  <r>
    <x v="2"/>
    <x v="3"/>
    <x v="14"/>
    <n v="25"/>
    <x v="7"/>
    <n v="5"/>
    <n v="2"/>
    <x v="1"/>
    <x v="2"/>
    <x v="2"/>
    <n v="120"/>
    <x v="20"/>
    <x v="1"/>
  </r>
  <r>
    <x v="4"/>
    <x v="3"/>
    <x v="15"/>
    <n v="30"/>
    <x v="9"/>
    <n v="8"/>
    <n v="3"/>
    <x v="14"/>
    <x v="2"/>
    <x v="2"/>
    <n v="275"/>
    <x v="27"/>
    <x v="23"/>
  </r>
  <r>
    <x v="7"/>
    <x v="3"/>
    <x v="16"/>
    <n v="40"/>
    <x v="10"/>
    <n v="2"/>
    <n v="0"/>
    <x v="0"/>
    <x v="2"/>
    <x v="2"/>
    <n v="130"/>
    <x v="24"/>
    <x v="4"/>
  </r>
  <r>
    <x v="8"/>
    <x v="3"/>
    <x v="17"/>
    <n v="50"/>
    <x v="11"/>
    <n v="4"/>
    <n v="3"/>
    <x v="3"/>
    <x v="2"/>
    <x v="2"/>
    <n v="70"/>
    <x v="13"/>
    <x v="11"/>
  </r>
  <r>
    <x v="9"/>
    <x v="3"/>
    <x v="18"/>
    <n v="20"/>
    <x v="12"/>
    <n v="22"/>
    <n v="19"/>
    <x v="1"/>
    <x v="2"/>
    <x v="2"/>
    <n v="90"/>
    <x v="15"/>
    <x v="24"/>
  </r>
  <r>
    <x v="10"/>
    <x v="3"/>
    <x v="19"/>
    <n v="10"/>
    <x v="13"/>
    <n v="6"/>
    <n v="6"/>
    <x v="10"/>
    <x v="2"/>
    <x v="2"/>
    <n v="0"/>
    <x v="11"/>
    <x v="7"/>
  </r>
  <r>
    <x v="11"/>
    <x v="3"/>
    <x v="20"/>
    <n v="60"/>
    <x v="14"/>
    <n v="5"/>
    <n v="5"/>
    <x v="10"/>
    <x v="2"/>
    <x v="2"/>
    <n v="0"/>
    <x v="11"/>
    <x v="7"/>
  </r>
  <r>
    <x v="12"/>
    <x v="4"/>
    <x v="21"/>
    <n v="50"/>
    <x v="11"/>
    <n v="6"/>
    <n v="5"/>
    <x v="3"/>
    <x v="2"/>
    <x v="2"/>
    <n v="70"/>
    <x v="13"/>
    <x v="25"/>
  </r>
  <r>
    <x v="13"/>
    <x v="4"/>
    <x v="22"/>
    <n v="45"/>
    <x v="10"/>
    <n v="4"/>
    <n v="4"/>
    <x v="10"/>
    <x v="2"/>
    <x v="2"/>
    <n v="0"/>
    <x v="11"/>
    <x v="7"/>
  </r>
  <r>
    <x v="14"/>
    <x v="4"/>
    <x v="23"/>
    <n v="50"/>
    <x v="11"/>
    <n v="3"/>
    <n v="3"/>
    <x v="10"/>
    <x v="2"/>
    <x v="2"/>
    <n v="0"/>
    <x v="11"/>
    <x v="7"/>
  </r>
  <r>
    <x v="15"/>
    <x v="4"/>
    <x v="24"/>
    <n v="10"/>
    <x v="15"/>
    <n v="8"/>
    <n v="6"/>
    <x v="0"/>
    <x v="2"/>
    <x v="2"/>
    <n v="30"/>
    <x v="25"/>
    <x v="11"/>
  </r>
  <r>
    <x v="16"/>
    <x v="4"/>
    <x v="25"/>
    <n v="20"/>
    <x v="16"/>
    <n v="7"/>
    <n v="6"/>
    <x v="3"/>
    <x v="2"/>
    <x v="2"/>
    <n v="25"/>
    <x v="28"/>
    <x v="10"/>
  </r>
  <r>
    <x v="17"/>
    <x v="5"/>
    <x v="26"/>
    <n v="25"/>
    <x v="12"/>
    <n v="0"/>
    <n v="0"/>
    <x v="10"/>
    <x v="2"/>
    <x v="2"/>
    <n v="0"/>
    <x v="11"/>
    <x v="7"/>
  </r>
  <r>
    <x v="18"/>
    <x v="5"/>
    <x v="27"/>
    <n v="25"/>
    <x v="12"/>
    <n v="6"/>
    <n v="5"/>
    <x v="3"/>
    <x v="2"/>
    <x v="2"/>
    <n v="30"/>
    <x v="28"/>
    <x v="25"/>
  </r>
  <r>
    <x v="19"/>
    <x v="5"/>
    <x v="28"/>
    <n v="25"/>
    <x v="12"/>
    <n v="0"/>
    <n v="0"/>
    <x v="10"/>
    <x v="2"/>
    <x v="2"/>
    <n v="0"/>
    <x v="11"/>
    <x v="7"/>
  </r>
  <r>
    <x v="20"/>
    <x v="5"/>
    <x v="29"/>
    <n v="30"/>
    <x v="17"/>
    <n v="0"/>
    <n v="0"/>
    <x v="10"/>
    <x v="2"/>
    <x v="2"/>
    <n v="0"/>
    <x v="11"/>
    <x v="7"/>
  </r>
  <r>
    <x v="0"/>
    <x v="0"/>
    <x v="0"/>
    <n v="100"/>
    <x v="0"/>
    <n v="3"/>
    <n v="2"/>
    <x v="3"/>
    <x v="3"/>
    <x v="3"/>
    <n v="200"/>
    <x v="3"/>
    <x v="0"/>
  </r>
  <r>
    <x v="1"/>
    <x v="0"/>
    <x v="1"/>
    <n v="200"/>
    <x v="1"/>
    <n v="3"/>
    <n v="1"/>
    <x v="0"/>
    <x v="3"/>
    <x v="3"/>
    <n v="600"/>
    <x v="0"/>
    <x v="14"/>
  </r>
  <r>
    <x v="2"/>
    <x v="0"/>
    <x v="2"/>
    <n v="150"/>
    <x v="2"/>
    <n v="2"/>
    <n v="2"/>
    <x v="10"/>
    <x v="3"/>
    <x v="3"/>
    <n v="0"/>
    <x v="11"/>
    <x v="7"/>
  </r>
  <r>
    <x v="3"/>
    <x v="0"/>
    <x v="3"/>
    <n v="100"/>
    <x v="0"/>
    <n v="2"/>
    <n v="1"/>
    <x v="3"/>
    <x v="3"/>
    <x v="3"/>
    <n v="200"/>
    <x v="3"/>
    <x v="3"/>
  </r>
  <r>
    <x v="0"/>
    <x v="1"/>
    <x v="4"/>
    <n v="250"/>
    <x v="3"/>
    <n v="3"/>
    <n v="1"/>
    <x v="0"/>
    <x v="3"/>
    <x v="3"/>
    <n v="700"/>
    <x v="0"/>
    <x v="14"/>
  </r>
  <r>
    <x v="1"/>
    <x v="1"/>
    <x v="5"/>
    <n v="300"/>
    <x v="4"/>
    <n v="1"/>
    <n v="1"/>
    <x v="10"/>
    <x v="3"/>
    <x v="3"/>
    <n v="0"/>
    <x v="11"/>
    <x v="7"/>
  </r>
  <r>
    <x v="2"/>
    <x v="1"/>
    <x v="6"/>
    <n v="250"/>
    <x v="3"/>
    <n v="2"/>
    <n v="1"/>
    <x v="3"/>
    <x v="3"/>
    <x v="3"/>
    <n v="350"/>
    <x v="3"/>
    <x v="3"/>
  </r>
  <r>
    <x v="3"/>
    <x v="1"/>
    <x v="7"/>
    <n v="250"/>
    <x v="3"/>
    <n v="2"/>
    <n v="2"/>
    <x v="10"/>
    <x v="3"/>
    <x v="3"/>
    <n v="0"/>
    <x v="11"/>
    <x v="7"/>
  </r>
  <r>
    <x v="4"/>
    <x v="1"/>
    <x v="8"/>
    <n v="300"/>
    <x v="5"/>
    <n v="4"/>
    <n v="1"/>
    <x v="1"/>
    <x v="3"/>
    <x v="3"/>
    <n v="1350"/>
    <x v="18"/>
    <x v="2"/>
  </r>
  <r>
    <x v="5"/>
    <x v="2"/>
    <x v="9"/>
    <n v="320"/>
    <x v="4"/>
    <n v="2"/>
    <n v="1"/>
    <x v="3"/>
    <x v="3"/>
    <x v="3"/>
    <n v="400"/>
    <x v="12"/>
    <x v="3"/>
  </r>
  <r>
    <x v="6"/>
    <x v="2"/>
    <x v="10"/>
    <n v="100"/>
    <x v="6"/>
    <n v="0"/>
    <n v="0"/>
    <x v="10"/>
    <x v="3"/>
    <x v="3"/>
    <n v="0"/>
    <x v="11"/>
    <x v="7"/>
  </r>
  <r>
    <x v="0"/>
    <x v="3"/>
    <x v="11"/>
    <n v="25"/>
    <x v="7"/>
    <n v="1"/>
    <n v="0"/>
    <x v="3"/>
    <x v="3"/>
    <x v="3"/>
    <n v="40"/>
    <x v="26"/>
    <x v="4"/>
  </r>
  <r>
    <x v="1"/>
    <x v="3"/>
    <x v="12"/>
    <n v="30"/>
    <x v="8"/>
    <n v="2"/>
    <n v="0"/>
    <x v="0"/>
    <x v="3"/>
    <x v="3"/>
    <n v="100"/>
    <x v="29"/>
    <x v="4"/>
  </r>
  <r>
    <x v="3"/>
    <x v="3"/>
    <x v="13"/>
    <n v="25"/>
    <x v="7"/>
    <n v="5"/>
    <n v="0"/>
    <x v="14"/>
    <x v="3"/>
    <x v="3"/>
    <n v="200"/>
    <x v="14"/>
    <x v="4"/>
  </r>
  <r>
    <x v="2"/>
    <x v="3"/>
    <x v="14"/>
    <n v="25"/>
    <x v="7"/>
    <n v="9"/>
    <n v="2"/>
    <x v="13"/>
    <x v="3"/>
    <x v="3"/>
    <n v="280"/>
    <x v="21"/>
    <x v="26"/>
  </r>
  <r>
    <x v="4"/>
    <x v="3"/>
    <x v="15"/>
    <n v="30"/>
    <x v="9"/>
    <n v="3"/>
    <n v="0"/>
    <x v="1"/>
    <x v="3"/>
    <x v="3"/>
    <n v="165"/>
    <x v="14"/>
    <x v="4"/>
  </r>
  <r>
    <x v="7"/>
    <x v="3"/>
    <x v="16"/>
    <n v="40"/>
    <x v="10"/>
    <n v="0"/>
    <n v="0"/>
    <x v="10"/>
    <x v="3"/>
    <x v="3"/>
    <n v="0"/>
    <x v="11"/>
    <x v="7"/>
  </r>
  <r>
    <x v="8"/>
    <x v="3"/>
    <x v="17"/>
    <n v="50"/>
    <x v="11"/>
    <n v="3"/>
    <n v="3"/>
    <x v="10"/>
    <x v="3"/>
    <x v="3"/>
    <n v="0"/>
    <x v="11"/>
    <x v="7"/>
  </r>
  <r>
    <x v="9"/>
    <x v="3"/>
    <x v="18"/>
    <n v="20"/>
    <x v="12"/>
    <n v="19"/>
    <n v="16"/>
    <x v="1"/>
    <x v="3"/>
    <x v="3"/>
    <n v="90"/>
    <x v="15"/>
    <x v="27"/>
  </r>
  <r>
    <x v="10"/>
    <x v="3"/>
    <x v="19"/>
    <n v="10"/>
    <x v="13"/>
    <n v="6"/>
    <n v="6"/>
    <x v="10"/>
    <x v="3"/>
    <x v="3"/>
    <n v="0"/>
    <x v="11"/>
    <x v="7"/>
  </r>
  <r>
    <x v="11"/>
    <x v="3"/>
    <x v="20"/>
    <n v="60"/>
    <x v="14"/>
    <n v="5"/>
    <n v="5"/>
    <x v="10"/>
    <x v="3"/>
    <x v="3"/>
    <n v="0"/>
    <x v="11"/>
    <x v="7"/>
  </r>
  <r>
    <x v="12"/>
    <x v="4"/>
    <x v="21"/>
    <n v="50"/>
    <x v="11"/>
    <n v="5"/>
    <n v="5"/>
    <x v="10"/>
    <x v="3"/>
    <x v="3"/>
    <n v="0"/>
    <x v="11"/>
    <x v="7"/>
  </r>
  <r>
    <x v="13"/>
    <x v="4"/>
    <x v="22"/>
    <n v="45"/>
    <x v="10"/>
    <n v="4"/>
    <n v="4"/>
    <x v="10"/>
    <x v="3"/>
    <x v="3"/>
    <n v="0"/>
    <x v="11"/>
    <x v="7"/>
  </r>
  <r>
    <x v="14"/>
    <x v="4"/>
    <x v="23"/>
    <n v="50"/>
    <x v="11"/>
    <n v="3"/>
    <n v="3"/>
    <x v="10"/>
    <x v="3"/>
    <x v="3"/>
    <n v="0"/>
    <x v="11"/>
    <x v="7"/>
  </r>
  <r>
    <x v="15"/>
    <x v="4"/>
    <x v="24"/>
    <n v="10"/>
    <x v="15"/>
    <n v="6"/>
    <n v="4"/>
    <x v="0"/>
    <x v="3"/>
    <x v="3"/>
    <n v="30"/>
    <x v="25"/>
    <x v="0"/>
  </r>
  <r>
    <x v="16"/>
    <x v="4"/>
    <x v="25"/>
    <n v="20"/>
    <x v="16"/>
    <n v="6"/>
    <n v="4"/>
    <x v="0"/>
    <x v="3"/>
    <x v="3"/>
    <n v="50"/>
    <x v="25"/>
    <x v="0"/>
  </r>
  <r>
    <x v="17"/>
    <x v="5"/>
    <x v="26"/>
    <n v="25"/>
    <x v="12"/>
    <n v="10"/>
    <n v="10"/>
    <x v="10"/>
    <x v="3"/>
    <x v="3"/>
    <n v="0"/>
    <x v="11"/>
    <x v="7"/>
  </r>
  <r>
    <x v="18"/>
    <x v="5"/>
    <x v="27"/>
    <n v="25"/>
    <x v="12"/>
    <n v="10"/>
    <n v="8"/>
    <x v="0"/>
    <x v="3"/>
    <x v="3"/>
    <n v="60"/>
    <x v="25"/>
    <x v="20"/>
  </r>
  <r>
    <x v="19"/>
    <x v="5"/>
    <x v="28"/>
    <n v="25"/>
    <x v="12"/>
    <n v="5"/>
    <n v="3"/>
    <x v="0"/>
    <x v="3"/>
    <x v="3"/>
    <n v="60"/>
    <x v="25"/>
    <x v="8"/>
  </r>
  <r>
    <x v="20"/>
    <x v="5"/>
    <x v="29"/>
    <n v="30"/>
    <x v="17"/>
    <n v="5"/>
    <n v="3"/>
    <x v="0"/>
    <x v="3"/>
    <x v="3"/>
    <n v="70"/>
    <x v="25"/>
    <x v="8"/>
  </r>
  <r>
    <x v="0"/>
    <x v="0"/>
    <x v="0"/>
    <n v="100"/>
    <x v="0"/>
    <n v="2"/>
    <n v="2"/>
    <x v="10"/>
    <x v="4"/>
    <x v="4"/>
    <n v="0"/>
    <x v="11"/>
    <x v="7"/>
  </r>
  <r>
    <x v="1"/>
    <x v="0"/>
    <x v="1"/>
    <n v="200"/>
    <x v="1"/>
    <n v="2"/>
    <n v="2"/>
    <x v="10"/>
    <x v="4"/>
    <x v="4"/>
    <n v="0"/>
    <x v="11"/>
    <x v="7"/>
  </r>
  <r>
    <x v="2"/>
    <x v="0"/>
    <x v="2"/>
    <n v="150"/>
    <x v="2"/>
    <n v="2"/>
    <n v="0"/>
    <x v="0"/>
    <x v="4"/>
    <x v="4"/>
    <n v="500"/>
    <x v="0"/>
    <x v="4"/>
  </r>
  <r>
    <x v="3"/>
    <x v="0"/>
    <x v="3"/>
    <n v="100"/>
    <x v="0"/>
    <n v="1"/>
    <n v="1"/>
    <x v="10"/>
    <x v="4"/>
    <x v="4"/>
    <n v="0"/>
    <x v="11"/>
    <x v="7"/>
  </r>
  <r>
    <x v="0"/>
    <x v="1"/>
    <x v="4"/>
    <n v="250"/>
    <x v="3"/>
    <n v="3"/>
    <n v="3"/>
    <x v="10"/>
    <x v="4"/>
    <x v="4"/>
    <n v="0"/>
    <x v="11"/>
    <x v="7"/>
  </r>
  <r>
    <x v="1"/>
    <x v="1"/>
    <x v="5"/>
    <n v="300"/>
    <x v="4"/>
    <n v="1"/>
    <n v="0"/>
    <x v="3"/>
    <x v="4"/>
    <x v="4"/>
    <n v="400"/>
    <x v="3"/>
    <x v="4"/>
  </r>
  <r>
    <x v="2"/>
    <x v="1"/>
    <x v="6"/>
    <n v="250"/>
    <x v="3"/>
    <n v="1"/>
    <n v="1"/>
    <x v="10"/>
    <x v="4"/>
    <x v="4"/>
    <n v="0"/>
    <x v="11"/>
    <x v="7"/>
  </r>
  <r>
    <x v="3"/>
    <x v="1"/>
    <x v="7"/>
    <n v="250"/>
    <x v="3"/>
    <n v="3"/>
    <n v="1"/>
    <x v="0"/>
    <x v="4"/>
    <x v="4"/>
    <n v="700"/>
    <x v="0"/>
    <x v="14"/>
  </r>
  <r>
    <x v="4"/>
    <x v="1"/>
    <x v="8"/>
    <n v="300"/>
    <x v="5"/>
    <n v="1"/>
    <n v="1"/>
    <x v="10"/>
    <x v="4"/>
    <x v="4"/>
    <n v="0"/>
    <x v="11"/>
    <x v="7"/>
  </r>
  <r>
    <x v="5"/>
    <x v="2"/>
    <x v="9"/>
    <n v="320"/>
    <x v="4"/>
    <n v="1"/>
    <n v="1"/>
    <x v="10"/>
    <x v="4"/>
    <x v="4"/>
    <n v="0"/>
    <x v="11"/>
    <x v="7"/>
  </r>
  <r>
    <x v="6"/>
    <x v="2"/>
    <x v="10"/>
    <n v="100"/>
    <x v="6"/>
    <n v="0"/>
    <n v="0"/>
    <x v="10"/>
    <x v="4"/>
    <x v="4"/>
    <n v="0"/>
    <x v="11"/>
    <x v="7"/>
  </r>
  <r>
    <x v="0"/>
    <x v="3"/>
    <x v="11"/>
    <n v="25"/>
    <x v="7"/>
    <n v="18"/>
    <n v="5"/>
    <x v="16"/>
    <x v="4"/>
    <x v="4"/>
    <n v="520"/>
    <x v="30"/>
    <x v="28"/>
  </r>
  <r>
    <x v="1"/>
    <x v="3"/>
    <x v="12"/>
    <n v="30"/>
    <x v="8"/>
    <n v="7"/>
    <n v="5"/>
    <x v="0"/>
    <x v="4"/>
    <x v="4"/>
    <n v="100"/>
    <x v="29"/>
    <x v="9"/>
  </r>
  <r>
    <x v="3"/>
    <x v="3"/>
    <x v="13"/>
    <n v="25"/>
    <x v="7"/>
    <n v="0"/>
    <n v="0"/>
    <x v="10"/>
    <x v="4"/>
    <x v="4"/>
    <n v="0"/>
    <x v="11"/>
    <x v="7"/>
  </r>
  <r>
    <x v="2"/>
    <x v="3"/>
    <x v="14"/>
    <n v="25"/>
    <x v="7"/>
    <n v="2"/>
    <n v="0"/>
    <x v="0"/>
    <x v="4"/>
    <x v="4"/>
    <n v="80"/>
    <x v="15"/>
    <x v="4"/>
  </r>
  <r>
    <x v="4"/>
    <x v="3"/>
    <x v="15"/>
    <n v="30"/>
    <x v="9"/>
    <n v="7"/>
    <n v="6"/>
    <x v="3"/>
    <x v="4"/>
    <x v="4"/>
    <n v="55"/>
    <x v="22"/>
    <x v="10"/>
  </r>
  <r>
    <x v="7"/>
    <x v="3"/>
    <x v="16"/>
    <n v="40"/>
    <x v="10"/>
    <n v="0"/>
    <n v="0"/>
    <x v="10"/>
    <x v="4"/>
    <x v="4"/>
    <n v="0"/>
    <x v="11"/>
    <x v="7"/>
  </r>
  <r>
    <x v="8"/>
    <x v="3"/>
    <x v="17"/>
    <n v="50"/>
    <x v="11"/>
    <n v="3"/>
    <n v="3"/>
    <x v="10"/>
    <x v="4"/>
    <x v="4"/>
    <n v="0"/>
    <x v="11"/>
    <x v="7"/>
  </r>
  <r>
    <x v="9"/>
    <x v="3"/>
    <x v="18"/>
    <n v="20"/>
    <x v="12"/>
    <n v="16"/>
    <n v="12"/>
    <x v="2"/>
    <x v="4"/>
    <x v="4"/>
    <n v="120"/>
    <x v="29"/>
    <x v="11"/>
  </r>
  <r>
    <x v="10"/>
    <x v="3"/>
    <x v="19"/>
    <n v="10"/>
    <x v="13"/>
    <n v="6"/>
    <n v="6"/>
    <x v="10"/>
    <x v="4"/>
    <x v="4"/>
    <n v="0"/>
    <x v="11"/>
    <x v="7"/>
  </r>
  <r>
    <x v="11"/>
    <x v="3"/>
    <x v="20"/>
    <n v="60"/>
    <x v="14"/>
    <n v="5"/>
    <n v="5"/>
    <x v="10"/>
    <x v="4"/>
    <x v="4"/>
    <n v="0"/>
    <x v="11"/>
    <x v="7"/>
  </r>
  <r>
    <x v="12"/>
    <x v="4"/>
    <x v="21"/>
    <n v="50"/>
    <x v="11"/>
    <n v="5"/>
    <n v="5"/>
    <x v="10"/>
    <x v="4"/>
    <x v="4"/>
    <n v="0"/>
    <x v="11"/>
    <x v="7"/>
  </r>
  <r>
    <x v="13"/>
    <x v="4"/>
    <x v="22"/>
    <n v="45"/>
    <x v="10"/>
    <n v="4"/>
    <n v="4"/>
    <x v="10"/>
    <x v="4"/>
    <x v="4"/>
    <n v="0"/>
    <x v="11"/>
    <x v="7"/>
  </r>
  <r>
    <x v="14"/>
    <x v="4"/>
    <x v="23"/>
    <n v="50"/>
    <x v="11"/>
    <n v="3"/>
    <n v="3"/>
    <x v="10"/>
    <x v="4"/>
    <x v="4"/>
    <n v="0"/>
    <x v="11"/>
    <x v="7"/>
  </r>
  <r>
    <x v="15"/>
    <x v="4"/>
    <x v="24"/>
    <n v="10"/>
    <x v="15"/>
    <n v="9"/>
    <n v="5"/>
    <x v="2"/>
    <x v="4"/>
    <x v="4"/>
    <n v="60"/>
    <x v="13"/>
    <x v="29"/>
  </r>
  <r>
    <x v="16"/>
    <x v="4"/>
    <x v="25"/>
    <n v="20"/>
    <x v="16"/>
    <n v="9"/>
    <n v="7"/>
    <x v="0"/>
    <x v="4"/>
    <x v="4"/>
    <n v="50"/>
    <x v="25"/>
    <x v="30"/>
  </r>
  <r>
    <x v="17"/>
    <x v="5"/>
    <x v="26"/>
    <n v="25"/>
    <x v="12"/>
    <n v="10"/>
    <n v="3"/>
    <x v="13"/>
    <x v="4"/>
    <x v="4"/>
    <n v="210"/>
    <x v="17"/>
    <x v="31"/>
  </r>
  <r>
    <x v="18"/>
    <x v="5"/>
    <x v="27"/>
    <n v="25"/>
    <x v="12"/>
    <n v="8"/>
    <n v="7"/>
    <x v="3"/>
    <x v="4"/>
    <x v="4"/>
    <n v="30"/>
    <x v="28"/>
    <x v="32"/>
  </r>
  <r>
    <x v="19"/>
    <x v="5"/>
    <x v="28"/>
    <n v="25"/>
    <x v="12"/>
    <n v="3"/>
    <n v="0"/>
    <x v="1"/>
    <x v="4"/>
    <x v="4"/>
    <n v="90"/>
    <x v="26"/>
    <x v="4"/>
  </r>
  <r>
    <x v="20"/>
    <x v="5"/>
    <x v="29"/>
    <n v="30"/>
    <x v="17"/>
    <n v="3"/>
    <n v="0"/>
    <x v="1"/>
    <x v="4"/>
    <x v="4"/>
    <n v="105"/>
    <x v="26"/>
    <x v="4"/>
  </r>
  <r>
    <x v="0"/>
    <x v="0"/>
    <x v="0"/>
    <n v="100"/>
    <x v="0"/>
    <n v="11"/>
    <n v="9"/>
    <x v="0"/>
    <x v="5"/>
    <x v="5"/>
    <n v="400"/>
    <x v="0"/>
    <x v="33"/>
  </r>
  <r>
    <x v="1"/>
    <x v="0"/>
    <x v="1"/>
    <n v="200"/>
    <x v="1"/>
    <n v="4"/>
    <n v="2"/>
    <x v="0"/>
    <x v="5"/>
    <x v="5"/>
    <n v="600"/>
    <x v="0"/>
    <x v="3"/>
  </r>
  <r>
    <x v="2"/>
    <x v="0"/>
    <x v="2"/>
    <n v="150"/>
    <x v="2"/>
    <n v="1"/>
    <n v="1"/>
    <x v="10"/>
    <x v="5"/>
    <x v="5"/>
    <n v="0"/>
    <x v="11"/>
    <x v="7"/>
  </r>
  <r>
    <x v="3"/>
    <x v="0"/>
    <x v="3"/>
    <n v="100"/>
    <x v="0"/>
    <n v="9"/>
    <n v="8"/>
    <x v="3"/>
    <x v="5"/>
    <x v="5"/>
    <n v="200"/>
    <x v="3"/>
    <x v="17"/>
  </r>
  <r>
    <x v="0"/>
    <x v="1"/>
    <x v="4"/>
    <n v="250"/>
    <x v="3"/>
    <n v="7"/>
    <n v="2"/>
    <x v="14"/>
    <x v="5"/>
    <x v="5"/>
    <n v="1750"/>
    <x v="6"/>
    <x v="34"/>
  </r>
  <r>
    <x v="1"/>
    <x v="1"/>
    <x v="5"/>
    <n v="300"/>
    <x v="4"/>
    <n v="0"/>
    <n v="0"/>
    <x v="10"/>
    <x v="5"/>
    <x v="5"/>
    <n v="0"/>
    <x v="11"/>
    <x v="7"/>
  </r>
  <r>
    <x v="2"/>
    <x v="1"/>
    <x v="6"/>
    <n v="250"/>
    <x v="3"/>
    <n v="5"/>
    <n v="0"/>
    <x v="14"/>
    <x v="5"/>
    <x v="5"/>
    <n v="1750"/>
    <x v="6"/>
    <x v="4"/>
  </r>
  <r>
    <x v="3"/>
    <x v="1"/>
    <x v="7"/>
    <n v="250"/>
    <x v="3"/>
    <n v="6"/>
    <n v="2"/>
    <x v="2"/>
    <x v="5"/>
    <x v="5"/>
    <n v="1400"/>
    <x v="2"/>
    <x v="14"/>
  </r>
  <r>
    <x v="4"/>
    <x v="1"/>
    <x v="8"/>
    <n v="300"/>
    <x v="5"/>
    <n v="3"/>
    <n v="1"/>
    <x v="0"/>
    <x v="5"/>
    <x v="5"/>
    <n v="900"/>
    <x v="1"/>
    <x v="14"/>
  </r>
  <r>
    <x v="5"/>
    <x v="2"/>
    <x v="9"/>
    <n v="320"/>
    <x v="4"/>
    <n v="2"/>
    <n v="2"/>
    <x v="10"/>
    <x v="5"/>
    <x v="5"/>
    <n v="0"/>
    <x v="11"/>
    <x v="7"/>
  </r>
  <r>
    <x v="6"/>
    <x v="2"/>
    <x v="10"/>
    <n v="100"/>
    <x v="6"/>
    <n v="10"/>
    <n v="9"/>
    <x v="3"/>
    <x v="5"/>
    <x v="5"/>
    <n v="150"/>
    <x v="24"/>
    <x v="35"/>
  </r>
  <r>
    <x v="0"/>
    <x v="3"/>
    <x v="11"/>
    <n v="25"/>
    <x v="7"/>
    <n v="25"/>
    <n v="19"/>
    <x v="9"/>
    <x v="5"/>
    <x v="5"/>
    <n v="240"/>
    <x v="31"/>
    <x v="36"/>
  </r>
  <r>
    <x v="1"/>
    <x v="3"/>
    <x v="12"/>
    <n v="30"/>
    <x v="8"/>
    <n v="21"/>
    <n v="14"/>
    <x v="13"/>
    <x v="5"/>
    <x v="5"/>
    <n v="350"/>
    <x v="32"/>
    <x v="0"/>
  </r>
  <r>
    <x v="3"/>
    <x v="3"/>
    <x v="13"/>
    <n v="25"/>
    <x v="7"/>
    <n v="20"/>
    <n v="12"/>
    <x v="15"/>
    <x v="5"/>
    <x v="5"/>
    <n v="320"/>
    <x v="33"/>
    <x v="8"/>
  </r>
  <r>
    <x v="2"/>
    <x v="3"/>
    <x v="14"/>
    <n v="25"/>
    <x v="7"/>
    <n v="32"/>
    <n v="22"/>
    <x v="4"/>
    <x v="5"/>
    <x v="5"/>
    <n v="400"/>
    <x v="4"/>
    <x v="37"/>
  </r>
  <r>
    <x v="4"/>
    <x v="3"/>
    <x v="15"/>
    <n v="30"/>
    <x v="9"/>
    <n v="30"/>
    <n v="25"/>
    <x v="14"/>
    <x v="5"/>
    <x v="5"/>
    <n v="275"/>
    <x v="27"/>
    <x v="25"/>
  </r>
  <r>
    <x v="7"/>
    <x v="3"/>
    <x v="16"/>
    <n v="40"/>
    <x v="10"/>
    <n v="20"/>
    <n v="10"/>
    <x v="4"/>
    <x v="5"/>
    <x v="5"/>
    <n v="650"/>
    <x v="23"/>
    <x v="3"/>
  </r>
  <r>
    <x v="8"/>
    <x v="3"/>
    <x v="17"/>
    <n v="50"/>
    <x v="11"/>
    <n v="3"/>
    <n v="2"/>
    <x v="3"/>
    <x v="5"/>
    <x v="5"/>
    <n v="70"/>
    <x v="13"/>
    <x v="0"/>
  </r>
  <r>
    <x v="9"/>
    <x v="3"/>
    <x v="18"/>
    <n v="20"/>
    <x v="12"/>
    <n v="57"/>
    <n v="45"/>
    <x v="6"/>
    <x v="5"/>
    <x v="5"/>
    <n v="360"/>
    <x v="33"/>
    <x v="38"/>
  </r>
  <r>
    <x v="10"/>
    <x v="3"/>
    <x v="19"/>
    <n v="10"/>
    <x v="13"/>
    <n v="6"/>
    <n v="4"/>
    <x v="0"/>
    <x v="5"/>
    <x v="5"/>
    <n v="40"/>
    <x v="13"/>
    <x v="0"/>
  </r>
  <r>
    <x v="11"/>
    <x v="3"/>
    <x v="20"/>
    <n v="60"/>
    <x v="14"/>
    <n v="22"/>
    <n v="6"/>
    <x v="17"/>
    <x v="5"/>
    <x v="5"/>
    <n v="1600"/>
    <x v="34"/>
    <x v="39"/>
  </r>
  <r>
    <x v="12"/>
    <x v="4"/>
    <x v="21"/>
    <n v="50"/>
    <x v="11"/>
    <n v="5"/>
    <n v="5"/>
    <x v="10"/>
    <x v="5"/>
    <x v="5"/>
    <n v="0"/>
    <x v="11"/>
    <x v="7"/>
  </r>
  <r>
    <x v="13"/>
    <x v="4"/>
    <x v="22"/>
    <n v="45"/>
    <x v="10"/>
    <n v="4"/>
    <n v="4"/>
    <x v="10"/>
    <x v="5"/>
    <x v="5"/>
    <n v="0"/>
    <x v="11"/>
    <x v="7"/>
  </r>
  <r>
    <x v="14"/>
    <x v="4"/>
    <x v="23"/>
    <n v="50"/>
    <x v="11"/>
    <n v="3"/>
    <n v="3"/>
    <x v="10"/>
    <x v="5"/>
    <x v="5"/>
    <n v="0"/>
    <x v="11"/>
    <x v="7"/>
  </r>
  <r>
    <x v="15"/>
    <x v="4"/>
    <x v="24"/>
    <n v="10"/>
    <x v="15"/>
    <n v="5"/>
    <n v="0"/>
    <x v="14"/>
    <x v="5"/>
    <x v="5"/>
    <n v="75"/>
    <x v="22"/>
    <x v="4"/>
  </r>
  <r>
    <x v="16"/>
    <x v="4"/>
    <x v="25"/>
    <n v="20"/>
    <x v="16"/>
    <n v="7"/>
    <n v="3"/>
    <x v="2"/>
    <x v="5"/>
    <x v="5"/>
    <n v="100"/>
    <x v="13"/>
    <x v="15"/>
  </r>
  <r>
    <x v="17"/>
    <x v="5"/>
    <x v="26"/>
    <n v="25"/>
    <x v="12"/>
    <n v="18"/>
    <n v="16"/>
    <x v="0"/>
    <x v="5"/>
    <x v="5"/>
    <n v="60"/>
    <x v="25"/>
    <x v="17"/>
  </r>
  <r>
    <x v="18"/>
    <x v="5"/>
    <x v="27"/>
    <n v="25"/>
    <x v="12"/>
    <n v="7"/>
    <n v="7"/>
    <x v="10"/>
    <x v="5"/>
    <x v="5"/>
    <n v="0"/>
    <x v="11"/>
    <x v="7"/>
  </r>
  <r>
    <x v="19"/>
    <x v="5"/>
    <x v="28"/>
    <n v="25"/>
    <x v="12"/>
    <n v="5"/>
    <n v="0"/>
    <x v="14"/>
    <x v="5"/>
    <x v="5"/>
    <n v="150"/>
    <x v="22"/>
    <x v="4"/>
  </r>
  <r>
    <x v="20"/>
    <x v="5"/>
    <x v="29"/>
    <n v="30"/>
    <x v="17"/>
    <n v="13"/>
    <n v="10"/>
    <x v="1"/>
    <x v="5"/>
    <x v="5"/>
    <n v="105"/>
    <x v="26"/>
    <x v="40"/>
  </r>
  <r>
    <x v="0"/>
    <x v="0"/>
    <x v="0"/>
    <n v="100"/>
    <x v="0"/>
    <n v="16"/>
    <n v="5"/>
    <x v="18"/>
    <x v="6"/>
    <x v="6"/>
    <n v="2200"/>
    <x v="35"/>
    <x v="41"/>
  </r>
  <r>
    <x v="1"/>
    <x v="0"/>
    <x v="1"/>
    <n v="200"/>
    <x v="1"/>
    <n v="8"/>
    <n v="2"/>
    <x v="9"/>
    <x v="6"/>
    <x v="6"/>
    <n v="1800"/>
    <x v="36"/>
    <x v="2"/>
  </r>
  <r>
    <x v="2"/>
    <x v="0"/>
    <x v="2"/>
    <n v="150"/>
    <x v="2"/>
    <n v="6"/>
    <n v="3"/>
    <x v="1"/>
    <x v="6"/>
    <x v="6"/>
    <n v="750"/>
    <x v="1"/>
    <x v="3"/>
  </r>
  <r>
    <x v="3"/>
    <x v="0"/>
    <x v="3"/>
    <n v="100"/>
    <x v="0"/>
    <n v="15"/>
    <n v="8"/>
    <x v="13"/>
    <x v="6"/>
    <x v="6"/>
    <n v="1400"/>
    <x v="37"/>
    <x v="42"/>
  </r>
  <r>
    <x v="0"/>
    <x v="1"/>
    <x v="4"/>
    <n v="250"/>
    <x v="3"/>
    <n v="15"/>
    <n v="4"/>
    <x v="18"/>
    <x v="6"/>
    <x v="6"/>
    <n v="3850"/>
    <x v="35"/>
    <x v="43"/>
  </r>
  <r>
    <x v="1"/>
    <x v="1"/>
    <x v="5"/>
    <n v="300"/>
    <x v="4"/>
    <n v="2"/>
    <n v="1"/>
    <x v="3"/>
    <x v="6"/>
    <x v="6"/>
    <n v="400"/>
    <x v="3"/>
    <x v="3"/>
  </r>
  <r>
    <x v="2"/>
    <x v="1"/>
    <x v="6"/>
    <n v="250"/>
    <x v="3"/>
    <n v="6"/>
    <n v="1"/>
    <x v="14"/>
    <x v="6"/>
    <x v="6"/>
    <n v="1750"/>
    <x v="6"/>
    <x v="18"/>
  </r>
  <r>
    <x v="3"/>
    <x v="1"/>
    <x v="7"/>
    <n v="250"/>
    <x v="3"/>
    <n v="13"/>
    <n v="2"/>
    <x v="18"/>
    <x v="6"/>
    <x v="6"/>
    <n v="3850"/>
    <x v="35"/>
    <x v="44"/>
  </r>
  <r>
    <x v="4"/>
    <x v="1"/>
    <x v="8"/>
    <n v="300"/>
    <x v="5"/>
    <n v="6"/>
    <n v="3"/>
    <x v="1"/>
    <x v="6"/>
    <x v="6"/>
    <n v="1350"/>
    <x v="18"/>
    <x v="3"/>
  </r>
  <r>
    <x v="5"/>
    <x v="2"/>
    <x v="9"/>
    <n v="320"/>
    <x v="4"/>
    <n v="2"/>
    <n v="0"/>
    <x v="0"/>
    <x v="6"/>
    <x v="6"/>
    <n v="800"/>
    <x v="19"/>
    <x v="4"/>
  </r>
  <r>
    <x v="6"/>
    <x v="2"/>
    <x v="10"/>
    <n v="100"/>
    <x v="6"/>
    <n v="10"/>
    <n v="3"/>
    <x v="13"/>
    <x v="6"/>
    <x v="6"/>
    <n v="1050"/>
    <x v="38"/>
    <x v="31"/>
  </r>
  <r>
    <x v="0"/>
    <x v="3"/>
    <x v="11"/>
    <n v="25"/>
    <x v="7"/>
    <n v="6"/>
    <n v="0"/>
    <x v="9"/>
    <x v="6"/>
    <x v="6"/>
    <n v="240"/>
    <x v="31"/>
    <x v="4"/>
  </r>
  <r>
    <x v="1"/>
    <x v="3"/>
    <x v="12"/>
    <n v="30"/>
    <x v="8"/>
    <n v="7"/>
    <n v="4"/>
    <x v="1"/>
    <x v="6"/>
    <x v="6"/>
    <n v="150"/>
    <x v="16"/>
    <x v="22"/>
  </r>
  <r>
    <x v="3"/>
    <x v="3"/>
    <x v="13"/>
    <n v="25"/>
    <x v="7"/>
    <n v="8"/>
    <n v="0"/>
    <x v="15"/>
    <x v="6"/>
    <x v="6"/>
    <n v="320"/>
    <x v="33"/>
    <x v="4"/>
  </r>
  <r>
    <x v="2"/>
    <x v="3"/>
    <x v="14"/>
    <n v="25"/>
    <x v="7"/>
    <n v="10"/>
    <n v="0"/>
    <x v="4"/>
    <x v="6"/>
    <x v="6"/>
    <n v="400"/>
    <x v="4"/>
    <x v="4"/>
  </r>
  <r>
    <x v="4"/>
    <x v="3"/>
    <x v="15"/>
    <n v="30"/>
    <x v="9"/>
    <n v="5"/>
    <n v="3"/>
    <x v="0"/>
    <x v="6"/>
    <x v="6"/>
    <n v="110"/>
    <x v="24"/>
    <x v="8"/>
  </r>
  <r>
    <x v="7"/>
    <x v="3"/>
    <x v="16"/>
    <n v="40"/>
    <x v="10"/>
    <n v="10"/>
    <n v="6"/>
    <x v="2"/>
    <x v="6"/>
    <x v="6"/>
    <n v="260"/>
    <x v="3"/>
    <x v="8"/>
  </r>
  <r>
    <x v="8"/>
    <x v="3"/>
    <x v="17"/>
    <n v="50"/>
    <x v="11"/>
    <n v="1"/>
    <n v="0"/>
    <x v="3"/>
    <x v="6"/>
    <x v="6"/>
    <n v="70"/>
    <x v="13"/>
    <x v="4"/>
  </r>
  <r>
    <x v="9"/>
    <x v="3"/>
    <x v="18"/>
    <n v="20"/>
    <x v="12"/>
    <n v="1"/>
    <n v="0"/>
    <x v="3"/>
    <x v="6"/>
    <x v="6"/>
    <n v="30"/>
    <x v="25"/>
    <x v="4"/>
  </r>
  <r>
    <x v="10"/>
    <x v="3"/>
    <x v="19"/>
    <n v="10"/>
    <x v="13"/>
    <n v="4"/>
    <n v="4"/>
    <x v="10"/>
    <x v="6"/>
    <x v="6"/>
    <n v="0"/>
    <x v="11"/>
    <x v="7"/>
  </r>
  <r>
    <x v="11"/>
    <x v="3"/>
    <x v="20"/>
    <n v="60"/>
    <x v="14"/>
    <n v="6"/>
    <n v="6"/>
    <x v="10"/>
    <x v="6"/>
    <x v="6"/>
    <n v="0"/>
    <x v="11"/>
    <x v="7"/>
  </r>
  <r>
    <x v="12"/>
    <x v="4"/>
    <x v="21"/>
    <n v="50"/>
    <x v="11"/>
    <n v="5"/>
    <n v="0"/>
    <x v="14"/>
    <x v="6"/>
    <x v="6"/>
    <n v="350"/>
    <x v="3"/>
    <x v="4"/>
  </r>
  <r>
    <x v="13"/>
    <x v="4"/>
    <x v="22"/>
    <n v="45"/>
    <x v="10"/>
    <n v="4"/>
    <n v="4"/>
    <x v="10"/>
    <x v="6"/>
    <x v="6"/>
    <n v="0"/>
    <x v="11"/>
    <x v="7"/>
  </r>
  <r>
    <x v="14"/>
    <x v="4"/>
    <x v="23"/>
    <n v="50"/>
    <x v="11"/>
    <n v="3"/>
    <n v="3"/>
    <x v="10"/>
    <x v="6"/>
    <x v="6"/>
    <n v="0"/>
    <x v="11"/>
    <x v="7"/>
  </r>
  <r>
    <x v="15"/>
    <x v="4"/>
    <x v="24"/>
    <n v="10"/>
    <x v="15"/>
    <n v="20"/>
    <n v="3"/>
    <x v="19"/>
    <x v="6"/>
    <x v="6"/>
    <n v="255"/>
    <x v="39"/>
    <x v="45"/>
  </r>
  <r>
    <x v="16"/>
    <x v="4"/>
    <x v="25"/>
    <n v="20"/>
    <x v="16"/>
    <n v="22"/>
    <n v="2"/>
    <x v="20"/>
    <x v="6"/>
    <x v="6"/>
    <n v="500"/>
    <x v="3"/>
    <x v="46"/>
  </r>
  <r>
    <x v="17"/>
    <x v="5"/>
    <x v="26"/>
    <n v="25"/>
    <x v="12"/>
    <n v="35"/>
    <n v="18"/>
    <x v="19"/>
    <x v="6"/>
    <x v="6"/>
    <n v="510"/>
    <x v="39"/>
    <x v="47"/>
  </r>
  <r>
    <x v="18"/>
    <x v="5"/>
    <x v="27"/>
    <n v="25"/>
    <x v="12"/>
    <n v="17"/>
    <n v="10"/>
    <x v="13"/>
    <x v="6"/>
    <x v="6"/>
    <n v="210"/>
    <x v="17"/>
    <x v="48"/>
  </r>
  <r>
    <x v="19"/>
    <x v="5"/>
    <x v="28"/>
    <n v="25"/>
    <x v="12"/>
    <n v="25"/>
    <n v="11"/>
    <x v="21"/>
    <x v="6"/>
    <x v="6"/>
    <n v="420"/>
    <x v="40"/>
    <x v="49"/>
  </r>
  <r>
    <x v="20"/>
    <x v="5"/>
    <x v="29"/>
    <n v="30"/>
    <x v="17"/>
    <n v="13"/>
    <n v="7"/>
    <x v="9"/>
    <x v="6"/>
    <x v="6"/>
    <n v="210"/>
    <x v="15"/>
    <x v="50"/>
  </r>
  <r>
    <x v="0"/>
    <x v="0"/>
    <x v="0"/>
    <n v="100"/>
    <x v="0"/>
    <n v="5"/>
    <n v="0"/>
    <x v="14"/>
    <x v="7"/>
    <x v="0"/>
    <n v="1000"/>
    <x v="6"/>
    <x v="4"/>
  </r>
  <r>
    <x v="1"/>
    <x v="0"/>
    <x v="1"/>
    <n v="200"/>
    <x v="1"/>
    <n v="2"/>
    <n v="0"/>
    <x v="0"/>
    <x v="7"/>
    <x v="0"/>
    <n v="600"/>
    <x v="0"/>
    <x v="4"/>
  </r>
  <r>
    <x v="2"/>
    <x v="0"/>
    <x v="2"/>
    <n v="150"/>
    <x v="2"/>
    <n v="3"/>
    <n v="0"/>
    <x v="1"/>
    <x v="7"/>
    <x v="0"/>
    <n v="750"/>
    <x v="1"/>
    <x v="4"/>
  </r>
  <r>
    <x v="3"/>
    <x v="0"/>
    <x v="3"/>
    <n v="100"/>
    <x v="0"/>
    <n v="8"/>
    <n v="0"/>
    <x v="15"/>
    <x v="7"/>
    <x v="0"/>
    <n v="1600"/>
    <x v="41"/>
    <x v="4"/>
  </r>
  <r>
    <x v="0"/>
    <x v="1"/>
    <x v="4"/>
    <n v="250"/>
    <x v="3"/>
    <n v="4"/>
    <n v="1"/>
    <x v="1"/>
    <x v="7"/>
    <x v="0"/>
    <n v="1050"/>
    <x v="1"/>
    <x v="2"/>
  </r>
  <r>
    <x v="1"/>
    <x v="1"/>
    <x v="5"/>
    <n v="300"/>
    <x v="4"/>
    <n v="1"/>
    <n v="0"/>
    <x v="3"/>
    <x v="7"/>
    <x v="0"/>
    <n v="400"/>
    <x v="3"/>
    <x v="4"/>
  </r>
  <r>
    <x v="2"/>
    <x v="1"/>
    <x v="6"/>
    <n v="250"/>
    <x v="3"/>
    <n v="1"/>
    <n v="1"/>
    <x v="10"/>
    <x v="7"/>
    <x v="0"/>
    <n v="0"/>
    <x v="11"/>
    <x v="7"/>
  </r>
  <r>
    <x v="3"/>
    <x v="1"/>
    <x v="7"/>
    <n v="250"/>
    <x v="3"/>
    <n v="2"/>
    <n v="0"/>
    <x v="0"/>
    <x v="7"/>
    <x v="0"/>
    <n v="700"/>
    <x v="0"/>
    <x v="4"/>
  </r>
  <r>
    <x v="4"/>
    <x v="1"/>
    <x v="8"/>
    <n v="300"/>
    <x v="5"/>
    <n v="3"/>
    <n v="1"/>
    <x v="0"/>
    <x v="7"/>
    <x v="0"/>
    <n v="900"/>
    <x v="1"/>
    <x v="14"/>
  </r>
  <r>
    <x v="5"/>
    <x v="2"/>
    <x v="9"/>
    <n v="320"/>
    <x v="4"/>
    <n v="0"/>
    <n v="0"/>
    <x v="10"/>
    <x v="7"/>
    <x v="0"/>
    <n v="0"/>
    <x v="11"/>
    <x v="7"/>
  </r>
  <r>
    <x v="6"/>
    <x v="2"/>
    <x v="10"/>
    <n v="100"/>
    <x v="6"/>
    <n v="3"/>
    <n v="2"/>
    <x v="3"/>
    <x v="7"/>
    <x v="0"/>
    <n v="150"/>
    <x v="24"/>
    <x v="0"/>
  </r>
  <r>
    <x v="0"/>
    <x v="3"/>
    <x v="11"/>
    <n v="25"/>
    <x v="7"/>
    <n v="0"/>
    <n v="0"/>
    <x v="10"/>
    <x v="7"/>
    <x v="0"/>
    <n v="0"/>
    <x v="11"/>
    <x v="7"/>
  </r>
  <r>
    <x v="1"/>
    <x v="3"/>
    <x v="12"/>
    <n v="30"/>
    <x v="8"/>
    <n v="4"/>
    <n v="4"/>
    <x v="10"/>
    <x v="7"/>
    <x v="0"/>
    <n v="0"/>
    <x v="11"/>
    <x v="7"/>
  </r>
  <r>
    <x v="3"/>
    <x v="3"/>
    <x v="13"/>
    <n v="25"/>
    <x v="7"/>
    <n v="0"/>
    <n v="0"/>
    <x v="10"/>
    <x v="7"/>
    <x v="0"/>
    <n v="0"/>
    <x v="11"/>
    <x v="7"/>
  </r>
  <r>
    <x v="2"/>
    <x v="3"/>
    <x v="14"/>
    <n v="25"/>
    <x v="7"/>
    <n v="0"/>
    <n v="0"/>
    <x v="10"/>
    <x v="7"/>
    <x v="0"/>
    <n v="0"/>
    <x v="11"/>
    <x v="7"/>
  </r>
  <r>
    <x v="4"/>
    <x v="3"/>
    <x v="15"/>
    <n v="30"/>
    <x v="9"/>
    <n v="3"/>
    <n v="3"/>
    <x v="10"/>
    <x v="7"/>
    <x v="0"/>
    <n v="0"/>
    <x v="11"/>
    <x v="7"/>
  </r>
  <r>
    <x v="7"/>
    <x v="3"/>
    <x v="16"/>
    <n v="40"/>
    <x v="10"/>
    <n v="6"/>
    <n v="6"/>
    <x v="10"/>
    <x v="7"/>
    <x v="0"/>
    <n v="0"/>
    <x v="11"/>
    <x v="7"/>
  </r>
  <r>
    <x v="8"/>
    <x v="3"/>
    <x v="17"/>
    <n v="50"/>
    <x v="11"/>
    <n v="0"/>
    <n v="0"/>
    <x v="10"/>
    <x v="7"/>
    <x v="0"/>
    <n v="0"/>
    <x v="11"/>
    <x v="7"/>
  </r>
  <r>
    <x v="9"/>
    <x v="3"/>
    <x v="18"/>
    <n v="20"/>
    <x v="12"/>
    <n v="0"/>
    <n v="0"/>
    <x v="10"/>
    <x v="7"/>
    <x v="0"/>
    <n v="0"/>
    <x v="11"/>
    <x v="7"/>
  </r>
  <r>
    <x v="10"/>
    <x v="3"/>
    <x v="19"/>
    <n v="10"/>
    <x v="13"/>
    <n v="4"/>
    <n v="4"/>
    <x v="10"/>
    <x v="7"/>
    <x v="0"/>
    <n v="0"/>
    <x v="11"/>
    <x v="7"/>
  </r>
  <r>
    <x v="11"/>
    <x v="3"/>
    <x v="20"/>
    <n v="60"/>
    <x v="14"/>
    <n v="6"/>
    <n v="6"/>
    <x v="10"/>
    <x v="7"/>
    <x v="0"/>
    <n v="0"/>
    <x v="11"/>
    <x v="7"/>
  </r>
  <r>
    <x v="12"/>
    <x v="4"/>
    <x v="21"/>
    <n v="50"/>
    <x v="11"/>
    <n v="0"/>
    <n v="0"/>
    <x v="10"/>
    <x v="7"/>
    <x v="0"/>
    <n v="0"/>
    <x v="11"/>
    <x v="7"/>
  </r>
  <r>
    <x v="13"/>
    <x v="4"/>
    <x v="22"/>
    <n v="45"/>
    <x v="10"/>
    <n v="4"/>
    <n v="4"/>
    <x v="10"/>
    <x v="7"/>
    <x v="0"/>
    <n v="0"/>
    <x v="11"/>
    <x v="7"/>
  </r>
  <r>
    <x v="14"/>
    <x v="4"/>
    <x v="23"/>
    <n v="50"/>
    <x v="11"/>
    <n v="3"/>
    <n v="3"/>
    <x v="10"/>
    <x v="7"/>
    <x v="0"/>
    <n v="0"/>
    <x v="11"/>
    <x v="7"/>
  </r>
  <r>
    <x v="15"/>
    <x v="4"/>
    <x v="24"/>
    <n v="10"/>
    <x v="15"/>
    <n v="3"/>
    <n v="0"/>
    <x v="1"/>
    <x v="7"/>
    <x v="0"/>
    <n v="45"/>
    <x v="26"/>
    <x v="4"/>
  </r>
  <r>
    <x v="16"/>
    <x v="4"/>
    <x v="25"/>
    <n v="20"/>
    <x v="16"/>
    <n v="2"/>
    <n v="0"/>
    <x v="0"/>
    <x v="7"/>
    <x v="0"/>
    <n v="50"/>
    <x v="25"/>
    <x v="4"/>
  </r>
  <r>
    <x v="17"/>
    <x v="5"/>
    <x v="26"/>
    <n v="25"/>
    <x v="12"/>
    <n v="18"/>
    <n v="16"/>
    <x v="0"/>
    <x v="7"/>
    <x v="0"/>
    <n v="60"/>
    <x v="25"/>
    <x v="17"/>
  </r>
  <r>
    <x v="18"/>
    <x v="5"/>
    <x v="27"/>
    <n v="25"/>
    <x v="12"/>
    <n v="10"/>
    <n v="10"/>
    <x v="10"/>
    <x v="7"/>
    <x v="0"/>
    <n v="0"/>
    <x v="11"/>
    <x v="7"/>
  </r>
  <r>
    <x v="19"/>
    <x v="5"/>
    <x v="28"/>
    <n v="25"/>
    <x v="12"/>
    <n v="11"/>
    <n v="10"/>
    <x v="3"/>
    <x v="7"/>
    <x v="0"/>
    <n v="30"/>
    <x v="28"/>
    <x v="51"/>
  </r>
  <r>
    <x v="20"/>
    <x v="5"/>
    <x v="29"/>
    <n v="30"/>
    <x v="17"/>
    <n v="7"/>
    <n v="5"/>
    <x v="0"/>
    <x v="7"/>
    <x v="0"/>
    <n v="70"/>
    <x v="25"/>
    <x v="9"/>
  </r>
  <r>
    <x v="0"/>
    <x v="0"/>
    <x v="0"/>
    <n v="100"/>
    <x v="0"/>
    <n v="3"/>
    <n v="3"/>
    <x v="10"/>
    <x v="8"/>
    <x v="1"/>
    <n v="0"/>
    <x v="11"/>
    <x v="7"/>
  </r>
  <r>
    <x v="1"/>
    <x v="0"/>
    <x v="1"/>
    <n v="200"/>
    <x v="1"/>
    <n v="0"/>
    <n v="0"/>
    <x v="10"/>
    <x v="8"/>
    <x v="1"/>
    <n v="0"/>
    <x v="11"/>
    <x v="7"/>
  </r>
  <r>
    <x v="2"/>
    <x v="0"/>
    <x v="2"/>
    <n v="150"/>
    <x v="2"/>
    <n v="1"/>
    <n v="1"/>
    <x v="10"/>
    <x v="8"/>
    <x v="1"/>
    <n v="0"/>
    <x v="11"/>
    <x v="7"/>
  </r>
  <r>
    <x v="3"/>
    <x v="0"/>
    <x v="3"/>
    <n v="100"/>
    <x v="0"/>
    <n v="0"/>
    <n v="0"/>
    <x v="10"/>
    <x v="8"/>
    <x v="1"/>
    <n v="0"/>
    <x v="11"/>
    <x v="7"/>
  </r>
  <r>
    <x v="0"/>
    <x v="1"/>
    <x v="4"/>
    <n v="250"/>
    <x v="3"/>
    <n v="2"/>
    <n v="2"/>
    <x v="10"/>
    <x v="8"/>
    <x v="1"/>
    <n v="0"/>
    <x v="11"/>
    <x v="7"/>
  </r>
  <r>
    <x v="1"/>
    <x v="1"/>
    <x v="5"/>
    <n v="300"/>
    <x v="4"/>
    <n v="1"/>
    <n v="1"/>
    <x v="10"/>
    <x v="8"/>
    <x v="1"/>
    <n v="0"/>
    <x v="11"/>
    <x v="7"/>
  </r>
  <r>
    <x v="2"/>
    <x v="1"/>
    <x v="6"/>
    <n v="250"/>
    <x v="3"/>
    <n v="1"/>
    <n v="0"/>
    <x v="3"/>
    <x v="8"/>
    <x v="1"/>
    <n v="350"/>
    <x v="3"/>
    <x v="4"/>
  </r>
  <r>
    <x v="3"/>
    <x v="1"/>
    <x v="7"/>
    <n v="250"/>
    <x v="3"/>
    <n v="0"/>
    <n v="0"/>
    <x v="10"/>
    <x v="8"/>
    <x v="1"/>
    <n v="0"/>
    <x v="11"/>
    <x v="7"/>
  </r>
  <r>
    <x v="4"/>
    <x v="1"/>
    <x v="8"/>
    <n v="300"/>
    <x v="5"/>
    <n v="1"/>
    <n v="0"/>
    <x v="3"/>
    <x v="8"/>
    <x v="1"/>
    <n v="450"/>
    <x v="4"/>
    <x v="4"/>
  </r>
  <r>
    <x v="5"/>
    <x v="2"/>
    <x v="9"/>
    <n v="320"/>
    <x v="4"/>
    <n v="0"/>
    <n v="0"/>
    <x v="10"/>
    <x v="8"/>
    <x v="1"/>
    <n v="0"/>
    <x v="11"/>
    <x v="7"/>
  </r>
  <r>
    <x v="6"/>
    <x v="2"/>
    <x v="10"/>
    <n v="100"/>
    <x v="6"/>
    <n v="2"/>
    <n v="0"/>
    <x v="0"/>
    <x v="8"/>
    <x v="1"/>
    <n v="300"/>
    <x v="3"/>
    <x v="4"/>
  </r>
  <r>
    <x v="0"/>
    <x v="3"/>
    <x v="11"/>
    <n v="25"/>
    <x v="7"/>
    <n v="10"/>
    <n v="0"/>
    <x v="4"/>
    <x v="8"/>
    <x v="1"/>
    <n v="400"/>
    <x v="4"/>
    <x v="4"/>
  </r>
  <r>
    <x v="1"/>
    <x v="3"/>
    <x v="12"/>
    <n v="30"/>
    <x v="8"/>
    <n v="4"/>
    <n v="0"/>
    <x v="2"/>
    <x v="8"/>
    <x v="1"/>
    <n v="200"/>
    <x v="12"/>
    <x v="4"/>
  </r>
  <r>
    <x v="3"/>
    <x v="3"/>
    <x v="13"/>
    <n v="25"/>
    <x v="7"/>
    <n v="10"/>
    <n v="6"/>
    <x v="2"/>
    <x v="8"/>
    <x v="1"/>
    <n v="160"/>
    <x v="16"/>
    <x v="8"/>
  </r>
  <r>
    <x v="2"/>
    <x v="3"/>
    <x v="14"/>
    <n v="25"/>
    <x v="7"/>
    <n v="10"/>
    <n v="0"/>
    <x v="4"/>
    <x v="8"/>
    <x v="1"/>
    <n v="400"/>
    <x v="4"/>
    <x v="4"/>
  </r>
  <r>
    <x v="4"/>
    <x v="3"/>
    <x v="15"/>
    <n v="30"/>
    <x v="9"/>
    <n v="3"/>
    <n v="0"/>
    <x v="1"/>
    <x v="8"/>
    <x v="1"/>
    <n v="165"/>
    <x v="14"/>
    <x v="4"/>
  </r>
  <r>
    <x v="7"/>
    <x v="3"/>
    <x v="16"/>
    <n v="40"/>
    <x v="10"/>
    <n v="6"/>
    <n v="2"/>
    <x v="2"/>
    <x v="8"/>
    <x v="1"/>
    <n v="260"/>
    <x v="3"/>
    <x v="14"/>
  </r>
  <r>
    <x v="8"/>
    <x v="3"/>
    <x v="17"/>
    <n v="50"/>
    <x v="11"/>
    <n v="0"/>
    <n v="0"/>
    <x v="10"/>
    <x v="8"/>
    <x v="1"/>
    <n v="0"/>
    <x v="11"/>
    <x v="7"/>
  </r>
  <r>
    <x v="9"/>
    <x v="3"/>
    <x v="18"/>
    <n v="20"/>
    <x v="12"/>
    <n v="0"/>
    <n v="0"/>
    <x v="10"/>
    <x v="8"/>
    <x v="1"/>
    <n v="0"/>
    <x v="11"/>
    <x v="7"/>
  </r>
  <r>
    <x v="10"/>
    <x v="3"/>
    <x v="19"/>
    <n v="10"/>
    <x v="13"/>
    <n v="4"/>
    <n v="0"/>
    <x v="2"/>
    <x v="8"/>
    <x v="1"/>
    <n v="80"/>
    <x v="29"/>
    <x v="4"/>
  </r>
  <r>
    <x v="11"/>
    <x v="3"/>
    <x v="20"/>
    <n v="60"/>
    <x v="14"/>
    <n v="6"/>
    <n v="6"/>
    <x v="10"/>
    <x v="8"/>
    <x v="1"/>
    <n v="0"/>
    <x v="11"/>
    <x v="7"/>
  </r>
  <r>
    <x v="12"/>
    <x v="4"/>
    <x v="21"/>
    <n v="50"/>
    <x v="11"/>
    <n v="0"/>
    <n v="0"/>
    <x v="10"/>
    <x v="8"/>
    <x v="1"/>
    <n v="0"/>
    <x v="11"/>
    <x v="7"/>
  </r>
  <r>
    <x v="13"/>
    <x v="4"/>
    <x v="22"/>
    <n v="45"/>
    <x v="10"/>
    <n v="4"/>
    <n v="4"/>
    <x v="10"/>
    <x v="8"/>
    <x v="1"/>
    <n v="0"/>
    <x v="11"/>
    <x v="7"/>
  </r>
  <r>
    <x v="14"/>
    <x v="4"/>
    <x v="23"/>
    <n v="50"/>
    <x v="11"/>
    <n v="3"/>
    <n v="3"/>
    <x v="10"/>
    <x v="8"/>
    <x v="1"/>
    <n v="0"/>
    <x v="11"/>
    <x v="7"/>
  </r>
  <r>
    <x v="15"/>
    <x v="4"/>
    <x v="24"/>
    <n v="10"/>
    <x v="15"/>
    <n v="10"/>
    <n v="0"/>
    <x v="4"/>
    <x v="8"/>
    <x v="1"/>
    <n v="150"/>
    <x v="24"/>
    <x v="4"/>
  </r>
  <r>
    <x v="16"/>
    <x v="4"/>
    <x v="25"/>
    <n v="20"/>
    <x v="16"/>
    <n v="10"/>
    <n v="0"/>
    <x v="4"/>
    <x v="8"/>
    <x v="1"/>
    <n v="250"/>
    <x v="24"/>
    <x v="4"/>
  </r>
  <r>
    <x v="17"/>
    <x v="5"/>
    <x v="26"/>
    <n v="25"/>
    <x v="12"/>
    <n v="16"/>
    <n v="13"/>
    <x v="1"/>
    <x v="8"/>
    <x v="1"/>
    <n v="90"/>
    <x v="26"/>
    <x v="52"/>
  </r>
  <r>
    <x v="18"/>
    <x v="5"/>
    <x v="27"/>
    <n v="25"/>
    <x v="12"/>
    <n v="10"/>
    <n v="9"/>
    <x v="3"/>
    <x v="8"/>
    <x v="1"/>
    <n v="30"/>
    <x v="28"/>
    <x v="35"/>
  </r>
  <r>
    <x v="19"/>
    <x v="5"/>
    <x v="28"/>
    <n v="25"/>
    <x v="12"/>
    <n v="10"/>
    <n v="5"/>
    <x v="14"/>
    <x v="8"/>
    <x v="1"/>
    <n v="150"/>
    <x v="22"/>
    <x v="3"/>
  </r>
  <r>
    <x v="20"/>
    <x v="5"/>
    <x v="29"/>
    <n v="30"/>
    <x v="17"/>
    <n v="5"/>
    <n v="0"/>
    <x v="14"/>
    <x v="8"/>
    <x v="1"/>
    <n v="175"/>
    <x v="22"/>
    <x v="4"/>
  </r>
  <r>
    <x v="0"/>
    <x v="0"/>
    <x v="0"/>
    <n v="100"/>
    <x v="0"/>
    <n v="6"/>
    <n v="4"/>
    <x v="0"/>
    <x v="9"/>
    <x v="3"/>
    <n v="400"/>
    <x v="0"/>
    <x v="0"/>
  </r>
  <r>
    <x v="1"/>
    <x v="0"/>
    <x v="1"/>
    <n v="200"/>
    <x v="1"/>
    <n v="2"/>
    <n v="1"/>
    <x v="3"/>
    <x v="9"/>
    <x v="3"/>
    <n v="300"/>
    <x v="3"/>
    <x v="3"/>
  </r>
  <r>
    <x v="2"/>
    <x v="0"/>
    <x v="2"/>
    <n v="150"/>
    <x v="2"/>
    <n v="2"/>
    <n v="1"/>
    <x v="3"/>
    <x v="9"/>
    <x v="3"/>
    <n v="250"/>
    <x v="3"/>
    <x v="3"/>
  </r>
  <r>
    <x v="3"/>
    <x v="0"/>
    <x v="3"/>
    <n v="100"/>
    <x v="0"/>
    <n v="2"/>
    <n v="0"/>
    <x v="0"/>
    <x v="9"/>
    <x v="3"/>
    <n v="400"/>
    <x v="0"/>
    <x v="4"/>
  </r>
  <r>
    <x v="0"/>
    <x v="1"/>
    <x v="4"/>
    <n v="250"/>
    <x v="3"/>
    <n v="2"/>
    <n v="2"/>
    <x v="10"/>
    <x v="9"/>
    <x v="3"/>
    <n v="0"/>
    <x v="11"/>
    <x v="7"/>
  </r>
  <r>
    <x v="1"/>
    <x v="1"/>
    <x v="5"/>
    <n v="300"/>
    <x v="4"/>
    <n v="1"/>
    <n v="1"/>
    <x v="10"/>
    <x v="9"/>
    <x v="3"/>
    <n v="0"/>
    <x v="11"/>
    <x v="7"/>
  </r>
  <r>
    <x v="2"/>
    <x v="1"/>
    <x v="6"/>
    <n v="250"/>
    <x v="3"/>
    <n v="2"/>
    <n v="1"/>
    <x v="3"/>
    <x v="9"/>
    <x v="3"/>
    <n v="350"/>
    <x v="3"/>
    <x v="3"/>
  </r>
  <r>
    <x v="3"/>
    <x v="1"/>
    <x v="7"/>
    <n v="250"/>
    <x v="3"/>
    <n v="1"/>
    <n v="1"/>
    <x v="10"/>
    <x v="9"/>
    <x v="3"/>
    <n v="0"/>
    <x v="11"/>
    <x v="7"/>
  </r>
  <r>
    <x v="4"/>
    <x v="1"/>
    <x v="8"/>
    <n v="300"/>
    <x v="5"/>
    <n v="1"/>
    <n v="1"/>
    <x v="10"/>
    <x v="9"/>
    <x v="3"/>
    <n v="0"/>
    <x v="11"/>
    <x v="7"/>
  </r>
  <r>
    <x v="5"/>
    <x v="2"/>
    <x v="9"/>
    <n v="320"/>
    <x v="4"/>
    <n v="0"/>
    <n v="0"/>
    <x v="10"/>
    <x v="9"/>
    <x v="3"/>
    <n v="0"/>
    <x v="11"/>
    <x v="7"/>
  </r>
  <r>
    <x v="6"/>
    <x v="2"/>
    <x v="10"/>
    <n v="100"/>
    <x v="6"/>
    <n v="0"/>
    <n v="0"/>
    <x v="10"/>
    <x v="9"/>
    <x v="3"/>
    <n v="0"/>
    <x v="11"/>
    <x v="7"/>
  </r>
  <r>
    <x v="0"/>
    <x v="3"/>
    <x v="11"/>
    <n v="25"/>
    <x v="7"/>
    <n v="10"/>
    <n v="3"/>
    <x v="13"/>
    <x v="9"/>
    <x v="3"/>
    <n v="280"/>
    <x v="21"/>
    <x v="31"/>
  </r>
  <r>
    <x v="1"/>
    <x v="3"/>
    <x v="12"/>
    <n v="30"/>
    <x v="8"/>
    <n v="0"/>
    <n v="0"/>
    <x v="10"/>
    <x v="9"/>
    <x v="3"/>
    <n v="0"/>
    <x v="11"/>
    <x v="7"/>
  </r>
  <r>
    <x v="3"/>
    <x v="3"/>
    <x v="13"/>
    <n v="25"/>
    <x v="7"/>
    <n v="16"/>
    <n v="15"/>
    <x v="3"/>
    <x v="9"/>
    <x v="3"/>
    <n v="40"/>
    <x v="26"/>
    <x v="53"/>
  </r>
  <r>
    <x v="2"/>
    <x v="3"/>
    <x v="14"/>
    <n v="25"/>
    <x v="7"/>
    <n v="11"/>
    <n v="5"/>
    <x v="9"/>
    <x v="9"/>
    <x v="3"/>
    <n v="240"/>
    <x v="31"/>
    <x v="54"/>
  </r>
  <r>
    <x v="4"/>
    <x v="3"/>
    <x v="15"/>
    <n v="30"/>
    <x v="9"/>
    <n v="0"/>
    <n v="0"/>
    <x v="10"/>
    <x v="9"/>
    <x v="3"/>
    <n v="0"/>
    <x v="11"/>
    <x v="7"/>
  </r>
  <r>
    <x v="7"/>
    <x v="3"/>
    <x v="16"/>
    <n v="40"/>
    <x v="10"/>
    <n v="22"/>
    <n v="19"/>
    <x v="1"/>
    <x v="9"/>
    <x v="3"/>
    <n v="195"/>
    <x v="14"/>
    <x v="24"/>
  </r>
  <r>
    <x v="8"/>
    <x v="3"/>
    <x v="17"/>
    <n v="50"/>
    <x v="11"/>
    <n v="0"/>
    <n v="0"/>
    <x v="10"/>
    <x v="9"/>
    <x v="3"/>
    <n v="0"/>
    <x v="11"/>
    <x v="7"/>
  </r>
  <r>
    <x v="9"/>
    <x v="3"/>
    <x v="18"/>
    <n v="20"/>
    <x v="12"/>
    <n v="0"/>
    <n v="0"/>
    <x v="10"/>
    <x v="9"/>
    <x v="3"/>
    <n v="0"/>
    <x v="11"/>
    <x v="7"/>
  </r>
  <r>
    <x v="10"/>
    <x v="3"/>
    <x v="19"/>
    <n v="10"/>
    <x v="13"/>
    <n v="0"/>
    <n v="0"/>
    <x v="10"/>
    <x v="9"/>
    <x v="3"/>
    <n v="0"/>
    <x v="11"/>
    <x v="7"/>
  </r>
  <r>
    <x v="11"/>
    <x v="3"/>
    <x v="20"/>
    <n v="60"/>
    <x v="14"/>
    <n v="6"/>
    <n v="4"/>
    <x v="0"/>
    <x v="9"/>
    <x v="3"/>
    <n v="200"/>
    <x v="12"/>
    <x v="0"/>
  </r>
  <r>
    <x v="12"/>
    <x v="4"/>
    <x v="21"/>
    <n v="50"/>
    <x v="11"/>
    <n v="4"/>
    <n v="0"/>
    <x v="2"/>
    <x v="9"/>
    <x v="3"/>
    <n v="280"/>
    <x v="12"/>
    <x v="4"/>
  </r>
  <r>
    <x v="13"/>
    <x v="4"/>
    <x v="22"/>
    <n v="45"/>
    <x v="10"/>
    <n v="4"/>
    <n v="4"/>
    <x v="10"/>
    <x v="9"/>
    <x v="3"/>
    <n v="0"/>
    <x v="11"/>
    <x v="7"/>
  </r>
  <r>
    <x v="14"/>
    <x v="4"/>
    <x v="23"/>
    <n v="50"/>
    <x v="11"/>
    <n v="3"/>
    <n v="0"/>
    <x v="1"/>
    <x v="9"/>
    <x v="3"/>
    <n v="210"/>
    <x v="16"/>
    <x v="4"/>
  </r>
  <r>
    <x v="15"/>
    <x v="4"/>
    <x v="24"/>
    <n v="10"/>
    <x v="15"/>
    <n v="0"/>
    <n v="0"/>
    <x v="10"/>
    <x v="9"/>
    <x v="3"/>
    <n v="0"/>
    <x v="11"/>
    <x v="7"/>
  </r>
  <r>
    <x v="16"/>
    <x v="4"/>
    <x v="25"/>
    <n v="20"/>
    <x v="16"/>
    <n v="0"/>
    <n v="0"/>
    <x v="10"/>
    <x v="9"/>
    <x v="3"/>
    <n v="0"/>
    <x v="11"/>
    <x v="7"/>
  </r>
  <r>
    <x v="17"/>
    <x v="5"/>
    <x v="26"/>
    <n v="25"/>
    <x v="12"/>
    <n v="13"/>
    <n v="9"/>
    <x v="2"/>
    <x v="9"/>
    <x v="3"/>
    <n v="120"/>
    <x v="13"/>
    <x v="55"/>
  </r>
  <r>
    <x v="18"/>
    <x v="5"/>
    <x v="27"/>
    <n v="25"/>
    <x v="12"/>
    <n v="9"/>
    <n v="6"/>
    <x v="1"/>
    <x v="9"/>
    <x v="3"/>
    <n v="90"/>
    <x v="26"/>
    <x v="0"/>
  </r>
  <r>
    <x v="19"/>
    <x v="5"/>
    <x v="28"/>
    <n v="25"/>
    <x v="12"/>
    <n v="5"/>
    <n v="5"/>
    <x v="10"/>
    <x v="9"/>
    <x v="3"/>
    <n v="0"/>
    <x v="11"/>
    <x v="7"/>
  </r>
  <r>
    <x v="20"/>
    <x v="5"/>
    <x v="29"/>
    <n v="30"/>
    <x v="17"/>
    <n v="0"/>
    <n v="0"/>
    <x v="10"/>
    <x v="9"/>
    <x v="3"/>
    <n v="0"/>
    <x v="11"/>
    <x v="7"/>
  </r>
  <r>
    <x v="0"/>
    <x v="0"/>
    <x v="0"/>
    <n v="100"/>
    <x v="0"/>
    <n v="6"/>
    <n v="2"/>
    <x v="2"/>
    <x v="10"/>
    <x v="4"/>
    <n v="800"/>
    <x v="2"/>
    <x v="14"/>
  </r>
  <r>
    <x v="1"/>
    <x v="0"/>
    <x v="1"/>
    <n v="200"/>
    <x v="1"/>
    <n v="3"/>
    <n v="2"/>
    <x v="3"/>
    <x v="10"/>
    <x v="4"/>
    <n v="300"/>
    <x v="3"/>
    <x v="0"/>
  </r>
  <r>
    <x v="2"/>
    <x v="0"/>
    <x v="2"/>
    <n v="150"/>
    <x v="2"/>
    <n v="3"/>
    <n v="2"/>
    <x v="3"/>
    <x v="10"/>
    <x v="4"/>
    <n v="250"/>
    <x v="3"/>
    <x v="0"/>
  </r>
  <r>
    <x v="3"/>
    <x v="0"/>
    <x v="3"/>
    <n v="100"/>
    <x v="0"/>
    <n v="2"/>
    <n v="2"/>
    <x v="10"/>
    <x v="10"/>
    <x v="4"/>
    <n v="0"/>
    <x v="11"/>
    <x v="7"/>
  </r>
  <r>
    <x v="0"/>
    <x v="1"/>
    <x v="4"/>
    <n v="250"/>
    <x v="3"/>
    <n v="3"/>
    <n v="2"/>
    <x v="3"/>
    <x v="10"/>
    <x v="4"/>
    <n v="350"/>
    <x v="3"/>
    <x v="0"/>
  </r>
  <r>
    <x v="1"/>
    <x v="1"/>
    <x v="5"/>
    <n v="300"/>
    <x v="4"/>
    <n v="1"/>
    <n v="0"/>
    <x v="3"/>
    <x v="10"/>
    <x v="4"/>
    <n v="400"/>
    <x v="3"/>
    <x v="4"/>
  </r>
  <r>
    <x v="2"/>
    <x v="1"/>
    <x v="6"/>
    <n v="250"/>
    <x v="3"/>
    <n v="3"/>
    <n v="2"/>
    <x v="3"/>
    <x v="10"/>
    <x v="4"/>
    <n v="350"/>
    <x v="3"/>
    <x v="0"/>
  </r>
  <r>
    <x v="3"/>
    <x v="1"/>
    <x v="7"/>
    <n v="250"/>
    <x v="3"/>
    <n v="1"/>
    <n v="1"/>
    <x v="10"/>
    <x v="10"/>
    <x v="4"/>
    <n v="0"/>
    <x v="11"/>
    <x v="7"/>
  </r>
  <r>
    <x v="4"/>
    <x v="1"/>
    <x v="8"/>
    <n v="300"/>
    <x v="5"/>
    <n v="2"/>
    <n v="1"/>
    <x v="3"/>
    <x v="10"/>
    <x v="4"/>
    <n v="450"/>
    <x v="4"/>
    <x v="3"/>
  </r>
  <r>
    <x v="5"/>
    <x v="2"/>
    <x v="9"/>
    <n v="320"/>
    <x v="4"/>
    <n v="0"/>
    <n v="0"/>
    <x v="10"/>
    <x v="10"/>
    <x v="4"/>
    <n v="0"/>
    <x v="11"/>
    <x v="7"/>
  </r>
  <r>
    <x v="6"/>
    <x v="2"/>
    <x v="10"/>
    <n v="100"/>
    <x v="6"/>
    <n v="6"/>
    <n v="5"/>
    <x v="3"/>
    <x v="10"/>
    <x v="4"/>
    <n v="150"/>
    <x v="24"/>
    <x v="25"/>
  </r>
  <r>
    <x v="0"/>
    <x v="3"/>
    <x v="11"/>
    <n v="25"/>
    <x v="7"/>
    <n v="19"/>
    <n v="1"/>
    <x v="11"/>
    <x v="10"/>
    <x v="4"/>
    <n v="720"/>
    <x v="42"/>
    <x v="56"/>
  </r>
  <r>
    <x v="1"/>
    <x v="3"/>
    <x v="12"/>
    <n v="30"/>
    <x v="8"/>
    <n v="8"/>
    <n v="8"/>
    <x v="10"/>
    <x v="10"/>
    <x v="4"/>
    <n v="0"/>
    <x v="11"/>
    <x v="7"/>
  </r>
  <r>
    <x v="3"/>
    <x v="3"/>
    <x v="13"/>
    <n v="25"/>
    <x v="7"/>
    <n v="15"/>
    <n v="12"/>
    <x v="1"/>
    <x v="10"/>
    <x v="4"/>
    <n v="120"/>
    <x v="20"/>
    <x v="20"/>
  </r>
  <r>
    <x v="2"/>
    <x v="3"/>
    <x v="14"/>
    <n v="25"/>
    <x v="7"/>
    <n v="20"/>
    <n v="11"/>
    <x v="22"/>
    <x v="10"/>
    <x v="4"/>
    <n v="360"/>
    <x v="43"/>
    <x v="57"/>
  </r>
  <r>
    <x v="4"/>
    <x v="3"/>
    <x v="15"/>
    <n v="30"/>
    <x v="9"/>
    <n v="8"/>
    <n v="8"/>
    <x v="10"/>
    <x v="10"/>
    <x v="4"/>
    <n v="0"/>
    <x v="11"/>
    <x v="7"/>
  </r>
  <r>
    <x v="7"/>
    <x v="3"/>
    <x v="16"/>
    <n v="40"/>
    <x v="10"/>
    <n v="19"/>
    <n v="8"/>
    <x v="18"/>
    <x v="10"/>
    <x v="4"/>
    <n v="715"/>
    <x v="44"/>
    <x v="58"/>
  </r>
  <r>
    <x v="8"/>
    <x v="3"/>
    <x v="17"/>
    <n v="50"/>
    <x v="11"/>
    <n v="0"/>
    <n v="0"/>
    <x v="10"/>
    <x v="10"/>
    <x v="4"/>
    <n v="0"/>
    <x v="11"/>
    <x v="7"/>
  </r>
  <r>
    <x v="9"/>
    <x v="3"/>
    <x v="18"/>
    <n v="20"/>
    <x v="12"/>
    <n v="22"/>
    <n v="20"/>
    <x v="0"/>
    <x v="10"/>
    <x v="4"/>
    <n v="60"/>
    <x v="13"/>
    <x v="51"/>
  </r>
  <r>
    <x v="10"/>
    <x v="3"/>
    <x v="19"/>
    <n v="10"/>
    <x v="13"/>
    <n v="11"/>
    <n v="11"/>
    <x v="10"/>
    <x v="10"/>
    <x v="4"/>
    <n v="0"/>
    <x v="11"/>
    <x v="7"/>
  </r>
  <r>
    <x v="11"/>
    <x v="3"/>
    <x v="20"/>
    <n v="60"/>
    <x v="14"/>
    <n v="4"/>
    <n v="4"/>
    <x v="10"/>
    <x v="10"/>
    <x v="4"/>
    <n v="0"/>
    <x v="11"/>
    <x v="7"/>
  </r>
  <r>
    <x v="12"/>
    <x v="4"/>
    <x v="21"/>
    <n v="50"/>
    <x v="11"/>
    <n v="4"/>
    <n v="0"/>
    <x v="2"/>
    <x v="10"/>
    <x v="4"/>
    <n v="280"/>
    <x v="12"/>
    <x v="4"/>
  </r>
  <r>
    <x v="13"/>
    <x v="4"/>
    <x v="22"/>
    <n v="45"/>
    <x v="10"/>
    <n v="4"/>
    <n v="4"/>
    <x v="10"/>
    <x v="10"/>
    <x v="4"/>
    <n v="0"/>
    <x v="11"/>
    <x v="7"/>
  </r>
  <r>
    <x v="14"/>
    <x v="4"/>
    <x v="23"/>
    <n v="50"/>
    <x v="11"/>
    <n v="0"/>
    <n v="0"/>
    <x v="10"/>
    <x v="10"/>
    <x v="4"/>
    <n v="0"/>
    <x v="11"/>
    <x v="7"/>
  </r>
  <r>
    <x v="15"/>
    <x v="4"/>
    <x v="24"/>
    <n v="10"/>
    <x v="15"/>
    <n v="10"/>
    <n v="5"/>
    <x v="14"/>
    <x v="10"/>
    <x v="4"/>
    <n v="75"/>
    <x v="22"/>
    <x v="3"/>
  </r>
  <r>
    <x v="16"/>
    <x v="4"/>
    <x v="25"/>
    <n v="20"/>
    <x v="16"/>
    <n v="5"/>
    <n v="2"/>
    <x v="1"/>
    <x v="10"/>
    <x v="4"/>
    <n v="75"/>
    <x v="26"/>
    <x v="1"/>
  </r>
  <r>
    <x v="17"/>
    <x v="5"/>
    <x v="26"/>
    <n v="25"/>
    <x v="12"/>
    <n v="9"/>
    <n v="6"/>
    <x v="1"/>
    <x v="10"/>
    <x v="4"/>
    <n v="90"/>
    <x v="26"/>
    <x v="0"/>
  </r>
  <r>
    <x v="18"/>
    <x v="5"/>
    <x v="27"/>
    <n v="25"/>
    <x v="12"/>
    <n v="6"/>
    <n v="4"/>
    <x v="0"/>
    <x v="10"/>
    <x v="4"/>
    <n v="60"/>
    <x v="25"/>
    <x v="0"/>
  </r>
  <r>
    <x v="19"/>
    <x v="5"/>
    <x v="28"/>
    <n v="25"/>
    <x v="12"/>
    <n v="5"/>
    <n v="5"/>
    <x v="10"/>
    <x v="10"/>
    <x v="4"/>
    <n v="0"/>
    <x v="11"/>
    <x v="7"/>
  </r>
  <r>
    <x v="20"/>
    <x v="5"/>
    <x v="29"/>
    <n v="30"/>
    <x v="17"/>
    <n v="10"/>
    <n v="8"/>
    <x v="0"/>
    <x v="10"/>
    <x v="4"/>
    <n v="70"/>
    <x v="25"/>
    <x v="20"/>
  </r>
  <r>
    <x v="0"/>
    <x v="0"/>
    <x v="0"/>
    <n v="100"/>
    <x v="0"/>
    <n v="2"/>
    <n v="0"/>
    <x v="0"/>
    <x v="11"/>
    <x v="5"/>
    <n v="400"/>
    <x v="0"/>
    <x v="4"/>
  </r>
  <r>
    <x v="1"/>
    <x v="0"/>
    <x v="1"/>
    <n v="200"/>
    <x v="1"/>
    <n v="2"/>
    <n v="0"/>
    <x v="0"/>
    <x v="11"/>
    <x v="5"/>
    <n v="600"/>
    <x v="0"/>
    <x v="4"/>
  </r>
  <r>
    <x v="2"/>
    <x v="0"/>
    <x v="2"/>
    <n v="150"/>
    <x v="2"/>
    <n v="2"/>
    <n v="0"/>
    <x v="0"/>
    <x v="11"/>
    <x v="5"/>
    <n v="500"/>
    <x v="0"/>
    <x v="4"/>
  </r>
  <r>
    <x v="3"/>
    <x v="0"/>
    <x v="3"/>
    <n v="100"/>
    <x v="0"/>
    <n v="2"/>
    <n v="0"/>
    <x v="0"/>
    <x v="11"/>
    <x v="5"/>
    <n v="400"/>
    <x v="0"/>
    <x v="4"/>
  </r>
  <r>
    <x v="0"/>
    <x v="1"/>
    <x v="4"/>
    <n v="250"/>
    <x v="3"/>
    <n v="2"/>
    <n v="2"/>
    <x v="10"/>
    <x v="11"/>
    <x v="5"/>
    <n v="0"/>
    <x v="11"/>
    <x v="7"/>
  </r>
  <r>
    <x v="1"/>
    <x v="1"/>
    <x v="5"/>
    <n v="300"/>
    <x v="4"/>
    <n v="0"/>
    <n v="0"/>
    <x v="10"/>
    <x v="11"/>
    <x v="5"/>
    <n v="0"/>
    <x v="11"/>
    <x v="7"/>
  </r>
  <r>
    <x v="2"/>
    <x v="1"/>
    <x v="6"/>
    <n v="250"/>
    <x v="3"/>
    <n v="2"/>
    <n v="1"/>
    <x v="3"/>
    <x v="11"/>
    <x v="5"/>
    <n v="350"/>
    <x v="3"/>
    <x v="3"/>
  </r>
  <r>
    <x v="3"/>
    <x v="1"/>
    <x v="7"/>
    <n v="250"/>
    <x v="3"/>
    <n v="1"/>
    <n v="1"/>
    <x v="10"/>
    <x v="11"/>
    <x v="5"/>
    <n v="0"/>
    <x v="11"/>
    <x v="7"/>
  </r>
  <r>
    <x v="4"/>
    <x v="1"/>
    <x v="8"/>
    <n v="300"/>
    <x v="5"/>
    <n v="1"/>
    <n v="1"/>
    <x v="10"/>
    <x v="11"/>
    <x v="5"/>
    <n v="0"/>
    <x v="11"/>
    <x v="7"/>
  </r>
  <r>
    <x v="5"/>
    <x v="2"/>
    <x v="9"/>
    <n v="320"/>
    <x v="4"/>
    <n v="0"/>
    <n v="0"/>
    <x v="10"/>
    <x v="11"/>
    <x v="5"/>
    <n v="0"/>
    <x v="11"/>
    <x v="7"/>
  </r>
  <r>
    <x v="6"/>
    <x v="2"/>
    <x v="10"/>
    <n v="100"/>
    <x v="6"/>
    <n v="5"/>
    <n v="5"/>
    <x v="10"/>
    <x v="11"/>
    <x v="5"/>
    <n v="0"/>
    <x v="11"/>
    <x v="7"/>
  </r>
  <r>
    <x v="0"/>
    <x v="3"/>
    <x v="11"/>
    <n v="25"/>
    <x v="7"/>
    <n v="9"/>
    <n v="9"/>
    <x v="10"/>
    <x v="11"/>
    <x v="5"/>
    <n v="0"/>
    <x v="11"/>
    <x v="7"/>
  </r>
  <r>
    <x v="1"/>
    <x v="3"/>
    <x v="12"/>
    <n v="30"/>
    <x v="8"/>
    <n v="16"/>
    <n v="8"/>
    <x v="15"/>
    <x v="11"/>
    <x v="5"/>
    <n v="400"/>
    <x v="19"/>
    <x v="3"/>
  </r>
  <r>
    <x v="3"/>
    <x v="3"/>
    <x v="13"/>
    <n v="25"/>
    <x v="7"/>
    <n v="12"/>
    <n v="8"/>
    <x v="2"/>
    <x v="11"/>
    <x v="5"/>
    <n v="160"/>
    <x v="16"/>
    <x v="0"/>
  </r>
  <r>
    <x v="2"/>
    <x v="3"/>
    <x v="14"/>
    <n v="25"/>
    <x v="7"/>
    <n v="27"/>
    <n v="13"/>
    <x v="21"/>
    <x v="11"/>
    <x v="5"/>
    <n v="560"/>
    <x v="45"/>
    <x v="59"/>
  </r>
  <r>
    <x v="4"/>
    <x v="3"/>
    <x v="15"/>
    <n v="30"/>
    <x v="9"/>
    <n v="16"/>
    <n v="8"/>
    <x v="15"/>
    <x v="11"/>
    <x v="5"/>
    <n v="440"/>
    <x v="0"/>
    <x v="3"/>
  </r>
  <r>
    <x v="7"/>
    <x v="3"/>
    <x v="16"/>
    <n v="40"/>
    <x v="10"/>
    <n v="8"/>
    <n v="8"/>
    <x v="10"/>
    <x v="11"/>
    <x v="5"/>
    <n v="0"/>
    <x v="11"/>
    <x v="7"/>
  </r>
  <r>
    <x v="8"/>
    <x v="3"/>
    <x v="17"/>
    <n v="50"/>
    <x v="11"/>
    <n v="0"/>
    <n v="0"/>
    <x v="10"/>
    <x v="11"/>
    <x v="5"/>
    <n v="0"/>
    <x v="11"/>
    <x v="7"/>
  </r>
  <r>
    <x v="9"/>
    <x v="3"/>
    <x v="18"/>
    <n v="20"/>
    <x v="12"/>
    <n v="20"/>
    <n v="15"/>
    <x v="14"/>
    <x v="11"/>
    <x v="5"/>
    <n v="150"/>
    <x v="24"/>
    <x v="11"/>
  </r>
  <r>
    <x v="10"/>
    <x v="3"/>
    <x v="19"/>
    <n v="10"/>
    <x v="13"/>
    <n v="11"/>
    <n v="11"/>
    <x v="10"/>
    <x v="11"/>
    <x v="5"/>
    <n v="0"/>
    <x v="11"/>
    <x v="7"/>
  </r>
  <r>
    <x v="11"/>
    <x v="3"/>
    <x v="20"/>
    <n v="60"/>
    <x v="14"/>
    <n v="4"/>
    <n v="1"/>
    <x v="1"/>
    <x v="11"/>
    <x v="5"/>
    <n v="300"/>
    <x v="33"/>
    <x v="2"/>
  </r>
  <r>
    <x v="12"/>
    <x v="4"/>
    <x v="21"/>
    <n v="50"/>
    <x v="11"/>
    <n v="4"/>
    <n v="2"/>
    <x v="0"/>
    <x v="11"/>
    <x v="5"/>
    <n v="140"/>
    <x v="29"/>
    <x v="3"/>
  </r>
  <r>
    <x v="13"/>
    <x v="4"/>
    <x v="22"/>
    <n v="45"/>
    <x v="10"/>
    <n v="4"/>
    <n v="2"/>
    <x v="0"/>
    <x v="11"/>
    <x v="5"/>
    <n v="130"/>
    <x v="29"/>
    <x v="3"/>
  </r>
  <r>
    <x v="14"/>
    <x v="4"/>
    <x v="23"/>
    <n v="50"/>
    <x v="11"/>
    <n v="0"/>
    <n v="0"/>
    <x v="10"/>
    <x v="11"/>
    <x v="5"/>
    <n v="0"/>
    <x v="11"/>
    <x v="7"/>
  </r>
  <r>
    <x v="15"/>
    <x v="4"/>
    <x v="24"/>
    <n v="10"/>
    <x v="15"/>
    <n v="10"/>
    <n v="8"/>
    <x v="0"/>
    <x v="11"/>
    <x v="5"/>
    <n v="30"/>
    <x v="25"/>
    <x v="20"/>
  </r>
  <r>
    <x v="16"/>
    <x v="4"/>
    <x v="25"/>
    <n v="20"/>
    <x v="16"/>
    <n v="7"/>
    <n v="5"/>
    <x v="0"/>
    <x v="11"/>
    <x v="5"/>
    <n v="50"/>
    <x v="25"/>
    <x v="9"/>
  </r>
  <r>
    <x v="17"/>
    <x v="5"/>
    <x v="26"/>
    <n v="25"/>
    <x v="12"/>
    <n v="6"/>
    <n v="0"/>
    <x v="9"/>
    <x v="11"/>
    <x v="5"/>
    <n v="180"/>
    <x v="15"/>
    <x v="4"/>
  </r>
  <r>
    <x v="18"/>
    <x v="5"/>
    <x v="27"/>
    <n v="25"/>
    <x v="12"/>
    <n v="4"/>
    <n v="4"/>
    <x v="10"/>
    <x v="11"/>
    <x v="5"/>
    <n v="0"/>
    <x v="11"/>
    <x v="7"/>
  </r>
  <r>
    <x v="19"/>
    <x v="5"/>
    <x v="28"/>
    <n v="25"/>
    <x v="12"/>
    <n v="5"/>
    <n v="2"/>
    <x v="1"/>
    <x v="11"/>
    <x v="5"/>
    <n v="90"/>
    <x v="26"/>
    <x v="1"/>
  </r>
  <r>
    <x v="20"/>
    <x v="5"/>
    <x v="29"/>
    <n v="30"/>
    <x v="17"/>
    <n v="8"/>
    <n v="2"/>
    <x v="9"/>
    <x v="11"/>
    <x v="5"/>
    <n v="210"/>
    <x v="15"/>
    <x v="2"/>
  </r>
  <r>
    <x v="0"/>
    <x v="0"/>
    <x v="0"/>
    <n v="100"/>
    <x v="0"/>
    <n v="3"/>
    <n v="2"/>
    <x v="3"/>
    <x v="12"/>
    <x v="6"/>
    <n v="200"/>
    <x v="3"/>
    <x v="0"/>
  </r>
  <r>
    <x v="1"/>
    <x v="0"/>
    <x v="1"/>
    <n v="200"/>
    <x v="1"/>
    <n v="2"/>
    <n v="1"/>
    <x v="3"/>
    <x v="12"/>
    <x v="6"/>
    <n v="300"/>
    <x v="3"/>
    <x v="3"/>
  </r>
  <r>
    <x v="2"/>
    <x v="0"/>
    <x v="2"/>
    <n v="150"/>
    <x v="2"/>
    <n v="2"/>
    <n v="1"/>
    <x v="3"/>
    <x v="12"/>
    <x v="6"/>
    <n v="250"/>
    <x v="3"/>
    <x v="3"/>
  </r>
  <r>
    <x v="3"/>
    <x v="0"/>
    <x v="3"/>
    <n v="100"/>
    <x v="0"/>
    <n v="3"/>
    <n v="2"/>
    <x v="3"/>
    <x v="12"/>
    <x v="6"/>
    <n v="200"/>
    <x v="3"/>
    <x v="0"/>
  </r>
  <r>
    <x v="0"/>
    <x v="1"/>
    <x v="4"/>
    <n v="250"/>
    <x v="3"/>
    <n v="2"/>
    <n v="1"/>
    <x v="3"/>
    <x v="12"/>
    <x v="6"/>
    <n v="350"/>
    <x v="3"/>
    <x v="3"/>
  </r>
  <r>
    <x v="1"/>
    <x v="1"/>
    <x v="5"/>
    <n v="300"/>
    <x v="4"/>
    <n v="0"/>
    <n v="0"/>
    <x v="10"/>
    <x v="12"/>
    <x v="6"/>
    <n v="0"/>
    <x v="11"/>
    <x v="7"/>
  </r>
  <r>
    <x v="2"/>
    <x v="1"/>
    <x v="6"/>
    <n v="250"/>
    <x v="3"/>
    <n v="1"/>
    <n v="0"/>
    <x v="3"/>
    <x v="12"/>
    <x v="6"/>
    <n v="350"/>
    <x v="3"/>
    <x v="4"/>
  </r>
  <r>
    <x v="3"/>
    <x v="1"/>
    <x v="7"/>
    <n v="250"/>
    <x v="3"/>
    <n v="5"/>
    <n v="4"/>
    <x v="3"/>
    <x v="12"/>
    <x v="6"/>
    <n v="350"/>
    <x v="3"/>
    <x v="20"/>
  </r>
  <r>
    <x v="4"/>
    <x v="1"/>
    <x v="8"/>
    <n v="300"/>
    <x v="5"/>
    <n v="2"/>
    <n v="0"/>
    <x v="0"/>
    <x v="12"/>
    <x v="6"/>
    <n v="900"/>
    <x v="1"/>
    <x v="4"/>
  </r>
  <r>
    <x v="5"/>
    <x v="2"/>
    <x v="9"/>
    <n v="320"/>
    <x v="4"/>
    <n v="0"/>
    <n v="0"/>
    <x v="10"/>
    <x v="12"/>
    <x v="6"/>
    <n v="0"/>
    <x v="11"/>
    <x v="7"/>
  </r>
  <r>
    <x v="6"/>
    <x v="2"/>
    <x v="10"/>
    <n v="100"/>
    <x v="6"/>
    <n v="5"/>
    <n v="5"/>
    <x v="10"/>
    <x v="12"/>
    <x v="6"/>
    <n v="0"/>
    <x v="11"/>
    <x v="7"/>
  </r>
  <r>
    <x v="0"/>
    <x v="3"/>
    <x v="11"/>
    <n v="25"/>
    <x v="7"/>
    <n v="9"/>
    <n v="7"/>
    <x v="0"/>
    <x v="12"/>
    <x v="6"/>
    <n v="80"/>
    <x v="15"/>
    <x v="30"/>
  </r>
  <r>
    <x v="1"/>
    <x v="3"/>
    <x v="12"/>
    <n v="30"/>
    <x v="8"/>
    <n v="16"/>
    <n v="4"/>
    <x v="6"/>
    <x v="12"/>
    <x v="6"/>
    <n v="600"/>
    <x v="5"/>
    <x v="2"/>
  </r>
  <r>
    <x v="3"/>
    <x v="3"/>
    <x v="13"/>
    <n v="25"/>
    <x v="7"/>
    <n v="16"/>
    <n v="6"/>
    <x v="4"/>
    <x v="12"/>
    <x v="6"/>
    <n v="400"/>
    <x v="4"/>
    <x v="23"/>
  </r>
  <r>
    <x v="2"/>
    <x v="3"/>
    <x v="14"/>
    <n v="25"/>
    <x v="7"/>
    <n v="21"/>
    <n v="9"/>
    <x v="6"/>
    <x v="12"/>
    <x v="6"/>
    <n v="480"/>
    <x v="8"/>
    <x v="15"/>
  </r>
  <r>
    <x v="4"/>
    <x v="3"/>
    <x v="15"/>
    <n v="30"/>
    <x v="9"/>
    <n v="16"/>
    <n v="2"/>
    <x v="21"/>
    <x v="12"/>
    <x v="6"/>
    <n v="770"/>
    <x v="38"/>
    <x v="60"/>
  </r>
  <r>
    <x v="7"/>
    <x v="3"/>
    <x v="16"/>
    <n v="40"/>
    <x v="10"/>
    <n v="8"/>
    <n v="5"/>
    <x v="1"/>
    <x v="12"/>
    <x v="6"/>
    <n v="195"/>
    <x v="14"/>
    <x v="61"/>
  </r>
  <r>
    <x v="8"/>
    <x v="3"/>
    <x v="17"/>
    <n v="50"/>
    <x v="11"/>
    <n v="0"/>
    <n v="0"/>
    <x v="10"/>
    <x v="12"/>
    <x v="6"/>
    <n v="0"/>
    <x v="11"/>
    <x v="7"/>
  </r>
  <r>
    <x v="9"/>
    <x v="3"/>
    <x v="18"/>
    <n v="20"/>
    <x v="12"/>
    <n v="20"/>
    <n v="20"/>
    <x v="10"/>
    <x v="12"/>
    <x v="6"/>
    <n v="0"/>
    <x v="11"/>
    <x v="7"/>
  </r>
  <r>
    <x v="10"/>
    <x v="3"/>
    <x v="19"/>
    <n v="10"/>
    <x v="13"/>
    <n v="11"/>
    <n v="11"/>
    <x v="10"/>
    <x v="12"/>
    <x v="6"/>
    <n v="0"/>
    <x v="11"/>
    <x v="7"/>
  </r>
  <r>
    <x v="11"/>
    <x v="3"/>
    <x v="20"/>
    <n v="60"/>
    <x v="14"/>
    <n v="6"/>
    <n v="6"/>
    <x v="10"/>
    <x v="12"/>
    <x v="6"/>
    <n v="0"/>
    <x v="11"/>
    <x v="7"/>
  </r>
  <r>
    <x v="12"/>
    <x v="4"/>
    <x v="21"/>
    <n v="50"/>
    <x v="11"/>
    <n v="6"/>
    <n v="5"/>
    <x v="3"/>
    <x v="12"/>
    <x v="6"/>
    <n v="70"/>
    <x v="13"/>
    <x v="25"/>
  </r>
  <r>
    <x v="13"/>
    <x v="4"/>
    <x v="22"/>
    <n v="45"/>
    <x v="10"/>
    <n v="2"/>
    <n v="1"/>
    <x v="3"/>
    <x v="12"/>
    <x v="6"/>
    <n v="65"/>
    <x v="13"/>
    <x v="3"/>
  </r>
  <r>
    <x v="14"/>
    <x v="4"/>
    <x v="23"/>
    <n v="50"/>
    <x v="11"/>
    <n v="0"/>
    <n v="0"/>
    <x v="10"/>
    <x v="12"/>
    <x v="6"/>
    <n v="0"/>
    <x v="11"/>
    <x v="7"/>
  </r>
  <r>
    <x v="15"/>
    <x v="4"/>
    <x v="24"/>
    <n v="10"/>
    <x v="15"/>
    <n v="12"/>
    <n v="10"/>
    <x v="0"/>
    <x v="12"/>
    <x v="6"/>
    <n v="30"/>
    <x v="25"/>
    <x v="25"/>
  </r>
  <r>
    <x v="16"/>
    <x v="4"/>
    <x v="25"/>
    <n v="20"/>
    <x v="16"/>
    <n v="5"/>
    <n v="4"/>
    <x v="3"/>
    <x v="12"/>
    <x v="6"/>
    <n v="25"/>
    <x v="28"/>
    <x v="20"/>
  </r>
  <r>
    <x v="17"/>
    <x v="5"/>
    <x v="26"/>
    <n v="25"/>
    <x v="12"/>
    <n v="0"/>
    <n v="0"/>
    <x v="10"/>
    <x v="12"/>
    <x v="6"/>
    <n v="0"/>
    <x v="11"/>
    <x v="7"/>
  </r>
  <r>
    <x v="18"/>
    <x v="5"/>
    <x v="27"/>
    <n v="25"/>
    <x v="12"/>
    <n v="4"/>
    <n v="2"/>
    <x v="0"/>
    <x v="12"/>
    <x v="6"/>
    <n v="60"/>
    <x v="25"/>
    <x v="3"/>
  </r>
  <r>
    <x v="19"/>
    <x v="5"/>
    <x v="28"/>
    <n v="25"/>
    <x v="12"/>
    <n v="2"/>
    <n v="2"/>
    <x v="10"/>
    <x v="12"/>
    <x v="6"/>
    <n v="0"/>
    <x v="11"/>
    <x v="7"/>
  </r>
  <r>
    <x v="20"/>
    <x v="5"/>
    <x v="29"/>
    <n v="30"/>
    <x v="17"/>
    <n v="2"/>
    <n v="1"/>
    <x v="3"/>
    <x v="12"/>
    <x v="6"/>
    <n v="35"/>
    <x v="28"/>
    <x v="3"/>
  </r>
  <r>
    <x v="0"/>
    <x v="0"/>
    <x v="0"/>
    <n v="100"/>
    <x v="0"/>
    <n v="2"/>
    <n v="1"/>
    <x v="3"/>
    <x v="13"/>
    <x v="0"/>
    <n v="200"/>
    <x v="3"/>
    <x v="3"/>
  </r>
  <r>
    <x v="1"/>
    <x v="0"/>
    <x v="1"/>
    <n v="200"/>
    <x v="1"/>
    <n v="3"/>
    <n v="2"/>
    <x v="3"/>
    <x v="13"/>
    <x v="0"/>
    <n v="300"/>
    <x v="3"/>
    <x v="0"/>
  </r>
  <r>
    <x v="2"/>
    <x v="0"/>
    <x v="2"/>
    <n v="150"/>
    <x v="2"/>
    <n v="3"/>
    <n v="1"/>
    <x v="0"/>
    <x v="13"/>
    <x v="0"/>
    <n v="500"/>
    <x v="0"/>
    <x v="14"/>
  </r>
  <r>
    <x v="3"/>
    <x v="0"/>
    <x v="3"/>
    <n v="100"/>
    <x v="0"/>
    <n v="3"/>
    <n v="3"/>
    <x v="10"/>
    <x v="13"/>
    <x v="0"/>
    <n v="0"/>
    <x v="11"/>
    <x v="7"/>
  </r>
  <r>
    <x v="0"/>
    <x v="1"/>
    <x v="4"/>
    <n v="250"/>
    <x v="3"/>
    <n v="3"/>
    <n v="2"/>
    <x v="3"/>
    <x v="13"/>
    <x v="0"/>
    <n v="350"/>
    <x v="3"/>
    <x v="0"/>
  </r>
  <r>
    <x v="1"/>
    <x v="1"/>
    <x v="5"/>
    <n v="300"/>
    <x v="4"/>
    <n v="1"/>
    <n v="1"/>
    <x v="10"/>
    <x v="13"/>
    <x v="0"/>
    <n v="0"/>
    <x v="11"/>
    <x v="7"/>
  </r>
  <r>
    <x v="2"/>
    <x v="1"/>
    <x v="6"/>
    <n v="250"/>
    <x v="3"/>
    <n v="2"/>
    <n v="2"/>
    <x v="10"/>
    <x v="13"/>
    <x v="0"/>
    <n v="0"/>
    <x v="11"/>
    <x v="7"/>
  </r>
  <r>
    <x v="3"/>
    <x v="1"/>
    <x v="7"/>
    <n v="250"/>
    <x v="3"/>
    <n v="5"/>
    <n v="2"/>
    <x v="1"/>
    <x v="13"/>
    <x v="0"/>
    <n v="1050"/>
    <x v="1"/>
    <x v="1"/>
  </r>
  <r>
    <x v="4"/>
    <x v="1"/>
    <x v="8"/>
    <n v="300"/>
    <x v="5"/>
    <n v="0"/>
    <n v="0"/>
    <x v="10"/>
    <x v="13"/>
    <x v="0"/>
    <n v="0"/>
    <x v="11"/>
    <x v="7"/>
  </r>
  <r>
    <x v="5"/>
    <x v="2"/>
    <x v="9"/>
    <n v="320"/>
    <x v="4"/>
    <n v="0"/>
    <n v="0"/>
    <x v="10"/>
    <x v="13"/>
    <x v="0"/>
    <n v="0"/>
    <x v="11"/>
    <x v="7"/>
  </r>
  <r>
    <x v="6"/>
    <x v="2"/>
    <x v="10"/>
    <n v="100"/>
    <x v="6"/>
    <n v="5"/>
    <n v="5"/>
    <x v="10"/>
    <x v="13"/>
    <x v="0"/>
    <n v="0"/>
    <x v="11"/>
    <x v="7"/>
  </r>
  <r>
    <x v="0"/>
    <x v="3"/>
    <x v="11"/>
    <n v="25"/>
    <x v="7"/>
    <n v="19"/>
    <n v="19"/>
    <x v="10"/>
    <x v="13"/>
    <x v="0"/>
    <n v="0"/>
    <x v="11"/>
    <x v="7"/>
  </r>
  <r>
    <x v="1"/>
    <x v="3"/>
    <x v="12"/>
    <n v="30"/>
    <x v="8"/>
    <n v="4"/>
    <n v="4"/>
    <x v="10"/>
    <x v="13"/>
    <x v="0"/>
    <n v="0"/>
    <x v="11"/>
    <x v="7"/>
  </r>
  <r>
    <x v="3"/>
    <x v="3"/>
    <x v="13"/>
    <n v="25"/>
    <x v="7"/>
    <n v="6"/>
    <n v="3"/>
    <x v="1"/>
    <x v="13"/>
    <x v="0"/>
    <n v="120"/>
    <x v="20"/>
    <x v="3"/>
  </r>
  <r>
    <x v="2"/>
    <x v="3"/>
    <x v="14"/>
    <n v="25"/>
    <x v="7"/>
    <n v="9"/>
    <n v="5"/>
    <x v="2"/>
    <x v="13"/>
    <x v="0"/>
    <n v="160"/>
    <x v="16"/>
    <x v="29"/>
  </r>
  <r>
    <x v="4"/>
    <x v="3"/>
    <x v="15"/>
    <n v="30"/>
    <x v="9"/>
    <n v="2"/>
    <n v="2"/>
    <x v="10"/>
    <x v="13"/>
    <x v="0"/>
    <n v="0"/>
    <x v="11"/>
    <x v="7"/>
  </r>
  <r>
    <x v="7"/>
    <x v="3"/>
    <x v="16"/>
    <n v="40"/>
    <x v="10"/>
    <n v="15"/>
    <n v="14"/>
    <x v="3"/>
    <x v="13"/>
    <x v="0"/>
    <n v="65"/>
    <x v="22"/>
    <x v="62"/>
  </r>
  <r>
    <x v="8"/>
    <x v="3"/>
    <x v="17"/>
    <n v="50"/>
    <x v="11"/>
    <n v="0"/>
    <n v="0"/>
    <x v="10"/>
    <x v="13"/>
    <x v="0"/>
    <n v="0"/>
    <x v="11"/>
    <x v="7"/>
  </r>
  <r>
    <x v="9"/>
    <x v="3"/>
    <x v="18"/>
    <n v="20"/>
    <x v="12"/>
    <n v="20"/>
    <n v="15"/>
    <x v="14"/>
    <x v="13"/>
    <x v="0"/>
    <n v="150"/>
    <x v="24"/>
    <x v="11"/>
  </r>
  <r>
    <x v="10"/>
    <x v="3"/>
    <x v="19"/>
    <n v="10"/>
    <x v="13"/>
    <n v="11"/>
    <n v="8"/>
    <x v="1"/>
    <x v="13"/>
    <x v="0"/>
    <n v="60"/>
    <x v="15"/>
    <x v="63"/>
  </r>
  <r>
    <x v="11"/>
    <x v="3"/>
    <x v="20"/>
    <n v="60"/>
    <x v="14"/>
    <n v="6"/>
    <n v="6"/>
    <x v="10"/>
    <x v="13"/>
    <x v="0"/>
    <n v="0"/>
    <x v="11"/>
    <x v="7"/>
  </r>
  <r>
    <x v="12"/>
    <x v="4"/>
    <x v="21"/>
    <n v="50"/>
    <x v="11"/>
    <n v="5"/>
    <n v="4"/>
    <x v="3"/>
    <x v="13"/>
    <x v="0"/>
    <n v="70"/>
    <x v="13"/>
    <x v="20"/>
  </r>
  <r>
    <x v="13"/>
    <x v="4"/>
    <x v="22"/>
    <n v="45"/>
    <x v="10"/>
    <n v="1"/>
    <n v="1"/>
    <x v="10"/>
    <x v="13"/>
    <x v="0"/>
    <n v="0"/>
    <x v="11"/>
    <x v="7"/>
  </r>
  <r>
    <x v="14"/>
    <x v="4"/>
    <x v="23"/>
    <n v="50"/>
    <x v="11"/>
    <n v="0"/>
    <n v="0"/>
    <x v="10"/>
    <x v="13"/>
    <x v="0"/>
    <n v="0"/>
    <x v="11"/>
    <x v="7"/>
  </r>
  <r>
    <x v="15"/>
    <x v="4"/>
    <x v="24"/>
    <n v="10"/>
    <x v="15"/>
    <n v="10"/>
    <n v="3"/>
    <x v="13"/>
    <x v="13"/>
    <x v="0"/>
    <n v="105"/>
    <x v="17"/>
    <x v="31"/>
  </r>
  <r>
    <x v="16"/>
    <x v="4"/>
    <x v="25"/>
    <n v="20"/>
    <x v="16"/>
    <n v="4"/>
    <n v="0"/>
    <x v="2"/>
    <x v="13"/>
    <x v="0"/>
    <n v="100"/>
    <x v="13"/>
    <x v="4"/>
  </r>
  <r>
    <x v="17"/>
    <x v="5"/>
    <x v="26"/>
    <n v="25"/>
    <x v="12"/>
    <n v="10"/>
    <n v="3"/>
    <x v="13"/>
    <x v="13"/>
    <x v="0"/>
    <n v="210"/>
    <x v="17"/>
    <x v="31"/>
  </r>
  <r>
    <x v="18"/>
    <x v="5"/>
    <x v="27"/>
    <n v="25"/>
    <x v="12"/>
    <n v="8"/>
    <n v="6"/>
    <x v="0"/>
    <x v="13"/>
    <x v="0"/>
    <n v="60"/>
    <x v="25"/>
    <x v="11"/>
  </r>
  <r>
    <x v="19"/>
    <x v="5"/>
    <x v="28"/>
    <n v="25"/>
    <x v="12"/>
    <n v="10"/>
    <n v="2"/>
    <x v="15"/>
    <x v="13"/>
    <x v="0"/>
    <n v="240"/>
    <x v="29"/>
    <x v="64"/>
  </r>
  <r>
    <x v="20"/>
    <x v="5"/>
    <x v="29"/>
    <n v="30"/>
    <x v="17"/>
    <n v="9"/>
    <n v="4"/>
    <x v="14"/>
    <x v="13"/>
    <x v="0"/>
    <n v="175"/>
    <x v="22"/>
    <x v="65"/>
  </r>
  <r>
    <x v="0"/>
    <x v="0"/>
    <x v="0"/>
    <n v="100"/>
    <x v="0"/>
    <n v="1"/>
    <n v="0"/>
    <x v="3"/>
    <x v="14"/>
    <x v="1"/>
    <n v="200"/>
    <x v="3"/>
    <x v="4"/>
  </r>
  <r>
    <x v="1"/>
    <x v="0"/>
    <x v="1"/>
    <n v="200"/>
    <x v="1"/>
    <n v="2"/>
    <n v="2"/>
    <x v="10"/>
    <x v="14"/>
    <x v="1"/>
    <n v="0"/>
    <x v="11"/>
    <x v="7"/>
  </r>
  <r>
    <x v="2"/>
    <x v="0"/>
    <x v="2"/>
    <n v="150"/>
    <x v="2"/>
    <n v="1"/>
    <n v="1"/>
    <x v="10"/>
    <x v="14"/>
    <x v="1"/>
    <n v="0"/>
    <x v="11"/>
    <x v="7"/>
  </r>
  <r>
    <x v="3"/>
    <x v="0"/>
    <x v="3"/>
    <n v="100"/>
    <x v="0"/>
    <n v="3"/>
    <n v="1"/>
    <x v="0"/>
    <x v="14"/>
    <x v="1"/>
    <n v="400"/>
    <x v="0"/>
    <x v="14"/>
  </r>
  <r>
    <x v="0"/>
    <x v="1"/>
    <x v="4"/>
    <n v="250"/>
    <x v="3"/>
    <n v="2"/>
    <n v="0"/>
    <x v="0"/>
    <x v="14"/>
    <x v="1"/>
    <n v="700"/>
    <x v="0"/>
    <x v="4"/>
  </r>
  <r>
    <x v="1"/>
    <x v="1"/>
    <x v="5"/>
    <n v="300"/>
    <x v="4"/>
    <n v="1"/>
    <n v="1"/>
    <x v="10"/>
    <x v="14"/>
    <x v="1"/>
    <n v="0"/>
    <x v="11"/>
    <x v="7"/>
  </r>
  <r>
    <x v="2"/>
    <x v="1"/>
    <x v="6"/>
    <n v="250"/>
    <x v="3"/>
    <n v="2"/>
    <n v="1"/>
    <x v="3"/>
    <x v="14"/>
    <x v="1"/>
    <n v="350"/>
    <x v="3"/>
    <x v="3"/>
  </r>
  <r>
    <x v="3"/>
    <x v="1"/>
    <x v="7"/>
    <n v="250"/>
    <x v="3"/>
    <n v="2"/>
    <n v="2"/>
    <x v="10"/>
    <x v="14"/>
    <x v="1"/>
    <n v="0"/>
    <x v="11"/>
    <x v="7"/>
  </r>
  <r>
    <x v="4"/>
    <x v="1"/>
    <x v="8"/>
    <n v="300"/>
    <x v="5"/>
    <n v="2"/>
    <n v="0"/>
    <x v="0"/>
    <x v="14"/>
    <x v="1"/>
    <n v="900"/>
    <x v="1"/>
    <x v="4"/>
  </r>
  <r>
    <x v="5"/>
    <x v="2"/>
    <x v="9"/>
    <n v="320"/>
    <x v="4"/>
    <n v="0"/>
    <n v="0"/>
    <x v="10"/>
    <x v="14"/>
    <x v="1"/>
    <n v="0"/>
    <x v="11"/>
    <x v="7"/>
  </r>
  <r>
    <x v="6"/>
    <x v="2"/>
    <x v="10"/>
    <n v="100"/>
    <x v="6"/>
    <n v="5"/>
    <n v="3"/>
    <x v="0"/>
    <x v="14"/>
    <x v="1"/>
    <n v="300"/>
    <x v="3"/>
    <x v="8"/>
  </r>
  <r>
    <x v="0"/>
    <x v="3"/>
    <x v="11"/>
    <n v="25"/>
    <x v="7"/>
    <n v="19"/>
    <n v="3"/>
    <x v="17"/>
    <x v="14"/>
    <x v="1"/>
    <n v="640"/>
    <x v="5"/>
    <x v="66"/>
  </r>
  <r>
    <x v="1"/>
    <x v="3"/>
    <x v="12"/>
    <n v="30"/>
    <x v="8"/>
    <n v="4"/>
    <n v="4"/>
    <x v="10"/>
    <x v="14"/>
    <x v="1"/>
    <n v="0"/>
    <x v="11"/>
    <x v="7"/>
  </r>
  <r>
    <x v="3"/>
    <x v="3"/>
    <x v="13"/>
    <n v="25"/>
    <x v="7"/>
    <n v="3"/>
    <n v="2"/>
    <x v="3"/>
    <x v="14"/>
    <x v="1"/>
    <n v="40"/>
    <x v="26"/>
    <x v="0"/>
  </r>
  <r>
    <x v="2"/>
    <x v="3"/>
    <x v="14"/>
    <n v="25"/>
    <x v="7"/>
    <n v="5"/>
    <n v="3"/>
    <x v="0"/>
    <x v="14"/>
    <x v="1"/>
    <n v="80"/>
    <x v="15"/>
    <x v="8"/>
  </r>
  <r>
    <x v="4"/>
    <x v="3"/>
    <x v="15"/>
    <n v="30"/>
    <x v="9"/>
    <n v="2"/>
    <n v="1"/>
    <x v="3"/>
    <x v="14"/>
    <x v="1"/>
    <n v="55"/>
    <x v="22"/>
    <x v="3"/>
  </r>
  <r>
    <x v="7"/>
    <x v="3"/>
    <x v="16"/>
    <n v="40"/>
    <x v="10"/>
    <n v="14"/>
    <n v="14"/>
    <x v="10"/>
    <x v="14"/>
    <x v="1"/>
    <n v="0"/>
    <x v="11"/>
    <x v="7"/>
  </r>
  <r>
    <x v="8"/>
    <x v="3"/>
    <x v="17"/>
    <n v="50"/>
    <x v="11"/>
    <n v="0"/>
    <n v="0"/>
    <x v="10"/>
    <x v="14"/>
    <x v="1"/>
    <n v="0"/>
    <x v="11"/>
    <x v="7"/>
  </r>
  <r>
    <x v="9"/>
    <x v="3"/>
    <x v="18"/>
    <n v="20"/>
    <x v="12"/>
    <n v="15"/>
    <n v="9"/>
    <x v="9"/>
    <x v="14"/>
    <x v="1"/>
    <n v="180"/>
    <x v="16"/>
    <x v="8"/>
  </r>
  <r>
    <x v="10"/>
    <x v="3"/>
    <x v="19"/>
    <n v="10"/>
    <x v="13"/>
    <n v="8"/>
    <n v="8"/>
    <x v="10"/>
    <x v="14"/>
    <x v="1"/>
    <n v="0"/>
    <x v="11"/>
    <x v="7"/>
  </r>
  <r>
    <x v="11"/>
    <x v="3"/>
    <x v="20"/>
    <n v="60"/>
    <x v="14"/>
    <n v="6"/>
    <n v="6"/>
    <x v="10"/>
    <x v="14"/>
    <x v="1"/>
    <n v="0"/>
    <x v="11"/>
    <x v="7"/>
  </r>
  <r>
    <x v="12"/>
    <x v="4"/>
    <x v="21"/>
    <n v="50"/>
    <x v="11"/>
    <n v="4"/>
    <n v="0"/>
    <x v="2"/>
    <x v="14"/>
    <x v="1"/>
    <n v="280"/>
    <x v="12"/>
    <x v="4"/>
  </r>
  <r>
    <x v="13"/>
    <x v="4"/>
    <x v="22"/>
    <n v="45"/>
    <x v="10"/>
    <n v="1"/>
    <n v="1"/>
    <x v="10"/>
    <x v="14"/>
    <x v="1"/>
    <n v="0"/>
    <x v="11"/>
    <x v="7"/>
  </r>
  <r>
    <x v="14"/>
    <x v="4"/>
    <x v="23"/>
    <n v="50"/>
    <x v="11"/>
    <n v="0"/>
    <n v="0"/>
    <x v="10"/>
    <x v="14"/>
    <x v="1"/>
    <n v="0"/>
    <x v="11"/>
    <x v="7"/>
  </r>
  <r>
    <x v="15"/>
    <x v="4"/>
    <x v="24"/>
    <n v="10"/>
    <x v="15"/>
    <n v="8"/>
    <n v="2"/>
    <x v="9"/>
    <x v="14"/>
    <x v="1"/>
    <n v="90"/>
    <x v="15"/>
    <x v="2"/>
  </r>
  <r>
    <x v="16"/>
    <x v="4"/>
    <x v="25"/>
    <n v="20"/>
    <x v="16"/>
    <n v="5"/>
    <n v="4"/>
    <x v="3"/>
    <x v="14"/>
    <x v="1"/>
    <n v="25"/>
    <x v="28"/>
    <x v="20"/>
  </r>
  <r>
    <x v="17"/>
    <x v="5"/>
    <x v="26"/>
    <n v="25"/>
    <x v="12"/>
    <n v="3"/>
    <n v="0"/>
    <x v="1"/>
    <x v="14"/>
    <x v="1"/>
    <n v="90"/>
    <x v="26"/>
    <x v="4"/>
  </r>
  <r>
    <x v="18"/>
    <x v="5"/>
    <x v="27"/>
    <n v="25"/>
    <x v="12"/>
    <n v="6"/>
    <n v="2"/>
    <x v="2"/>
    <x v="14"/>
    <x v="1"/>
    <n v="120"/>
    <x v="13"/>
    <x v="14"/>
  </r>
  <r>
    <x v="19"/>
    <x v="5"/>
    <x v="28"/>
    <n v="25"/>
    <x v="12"/>
    <n v="2"/>
    <n v="1"/>
    <x v="3"/>
    <x v="14"/>
    <x v="1"/>
    <n v="30"/>
    <x v="28"/>
    <x v="3"/>
  </r>
  <r>
    <x v="20"/>
    <x v="5"/>
    <x v="29"/>
    <n v="30"/>
    <x v="17"/>
    <n v="4"/>
    <n v="0"/>
    <x v="2"/>
    <x v="14"/>
    <x v="1"/>
    <n v="140"/>
    <x v="13"/>
    <x v="4"/>
  </r>
  <r>
    <x v="0"/>
    <x v="0"/>
    <x v="0"/>
    <n v="100"/>
    <x v="0"/>
    <n v="3"/>
    <n v="2"/>
    <x v="3"/>
    <x v="15"/>
    <x v="7"/>
    <n v="200"/>
    <x v="3"/>
    <x v="0"/>
  </r>
  <r>
    <x v="1"/>
    <x v="0"/>
    <x v="1"/>
    <n v="200"/>
    <x v="1"/>
    <n v="2"/>
    <n v="1"/>
    <x v="3"/>
    <x v="15"/>
    <x v="7"/>
    <n v="300"/>
    <x v="3"/>
    <x v="3"/>
  </r>
  <r>
    <x v="2"/>
    <x v="0"/>
    <x v="2"/>
    <n v="150"/>
    <x v="2"/>
    <n v="3"/>
    <n v="1"/>
    <x v="0"/>
    <x v="15"/>
    <x v="7"/>
    <n v="500"/>
    <x v="0"/>
    <x v="14"/>
  </r>
  <r>
    <x v="3"/>
    <x v="0"/>
    <x v="3"/>
    <n v="100"/>
    <x v="0"/>
    <n v="4"/>
    <n v="1"/>
    <x v="1"/>
    <x v="15"/>
    <x v="7"/>
    <n v="600"/>
    <x v="1"/>
    <x v="2"/>
  </r>
  <r>
    <x v="0"/>
    <x v="1"/>
    <x v="4"/>
    <n v="250"/>
    <x v="3"/>
    <n v="2"/>
    <n v="2"/>
    <x v="10"/>
    <x v="15"/>
    <x v="7"/>
    <n v="0"/>
    <x v="11"/>
    <x v="7"/>
  </r>
  <r>
    <x v="1"/>
    <x v="1"/>
    <x v="5"/>
    <n v="300"/>
    <x v="4"/>
    <n v="1"/>
    <n v="1"/>
    <x v="10"/>
    <x v="15"/>
    <x v="7"/>
    <n v="0"/>
    <x v="11"/>
    <x v="7"/>
  </r>
  <r>
    <x v="2"/>
    <x v="1"/>
    <x v="6"/>
    <n v="250"/>
    <x v="3"/>
    <n v="2"/>
    <n v="1"/>
    <x v="3"/>
    <x v="15"/>
    <x v="7"/>
    <n v="350"/>
    <x v="3"/>
    <x v="3"/>
  </r>
  <r>
    <x v="3"/>
    <x v="1"/>
    <x v="7"/>
    <n v="250"/>
    <x v="3"/>
    <n v="2"/>
    <n v="1"/>
    <x v="3"/>
    <x v="15"/>
    <x v="7"/>
    <n v="350"/>
    <x v="3"/>
    <x v="3"/>
  </r>
  <r>
    <x v="4"/>
    <x v="1"/>
    <x v="8"/>
    <n v="300"/>
    <x v="5"/>
    <n v="1"/>
    <n v="1"/>
    <x v="10"/>
    <x v="15"/>
    <x v="7"/>
    <n v="0"/>
    <x v="11"/>
    <x v="7"/>
  </r>
  <r>
    <x v="5"/>
    <x v="2"/>
    <x v="9"/>
    <n v="320"/>
    <x v="4"/>
    <n v="0"/>
    <n v="0"/>
    <x v="10"/>
    <x v="15"/>
    <x v="7"/>
    <n v="0"/>
    <x v="11"/>
    <x v="7"/>
  </r>
  <r>
    <x v="6"/>
    <x v="2"/>
    <x v="10"/>
    <n v="100"/>
    <x v="6"/>
    <n v="3"/>
    <n v="3"/>
    <x v="10"/>
    <x v="15"/>
    <x v="7"/>
    <n v="0"/>
    <x v="11"/>
    <x v="7"/>
  </r>
  <r>
    <x v="0"/>
    <x v="3"/>
    <x v="11"/>
    <n v="25"/>
    <x v="7"/>
    <n v="11"/>
    <n v="3"/>
    <x v="15"/>
    <x v="15"/>
    <x v="7"/>
    <n v="320"/>
    <x v="33"/>
    <x v="39"/>
  </r>
  <r>
    <x v="1"/>
    <x v="3"/>
    <x v="12"/>
    <n v="30"/>
    <x v="8"/>
    <n v="12"/>
    <n v="5"/>
    <x v="13"/>
    <x v="15"/>
    <x v="7"/>
    <n v="350"/>
    <x v="32"/>
    <x v="13"/>
  </r>
  <r>
    <x v="3"/>
    <x v="3"/>
    <x v="13"/>
    <n v="25"/>
    <x v="7"/>
    <n v="10"/>
    <n v="10"/>
    <x v="10"/>
    <x v="15"/>
    <x v="7"/>
    <n v="0"/>
    <x v="11"/>
    <x v="7"/>
  </r>
  <r>
    <x v="2"/>
    <x v="3"/>
    <x v="14"/>
    <n v="25"/>
    <x v="7"/>
    <n v="11"/>
    <n v="7"/>
    <x v="2"/>
    <x v="15"/>
    <x v="7"/>
    <n v="160"/>
    <x v="16"/>
    <x v="21"/>
  </r>
  <r>
    <x v="4"/>
    <x v="3"/>
    <x v="15"/>
    <n v="30"/>
    <x v="9"/>
    <n v="9"/>
    <n v="9"/>
    <x v="10"/>
    <x v="15"/>
    <x v="7"/>
    <n v="0"/>
    <x v="11"/>
    <x v="7"/>
  </r>
  <r>
    <x v="7"/>
    <x v="3"/>
    <x v="16"/>
    <n v="40"/>
    <x v="10"/>
    <n v="14"/>
    <n v="1"/>
    <x v="16"/>
    <x v="15"/>
    <x v="7"/>
    <n v="845"/>
    <x v="46"/>
    <x v="67"/>
  </r>
  <r>
    <x v="8"/>
    <x v="3"/>
    <x v="17"/>
    <n v="50"/>
    <x v="11"/>
    <n v="0"/>
    <n v="0"/>
    <x v="10"/>
    <x v="15"/>
    <x v="7"/>
    <n v="0"/>
    <x v="11"/>
    <x v="7"/>
  </r>
  <r>
    <x v="9"/>
    <x v="3"/>
    <x v="18"/>
    <n v="20"/>
    <x v="12"/>
    <n v="28"/>
    <n v="22"/>
    <x v="9"/>
    <x v="15"/>
    <x v="7"/>
    <n v="180"/>
    <x v="16"/>
    <x v="68"/>
  </r>
  <r>
    <x v="10"/>
    <x v="3"/>
    <x v="19"/>
    <n v="10"/>
    <x v="13"/>
    <n v="17"/>
    <n v="17"/>
    <x v="10"/>
    <x v="15"/>
    <x v="7"/>
    <n v="0"/>
    <x v="11"/>
    <x v="7"/>
  </r>
  <r>
    <x v="11"/>
    <x v="3"/>
    <x v="20"/>
    <n v="60"/>
    <x v="14"/>
    <n v="6"/>
    <n v="6"/>
    <x v="10"/>
    <x v="15"/>
    <x v="7"/>
    <n v="0"/>
    <x v="11"/>
    <x v="7"/>
  </r>
  <r>
    <x v="12"/>
    <x v="4"/>
    <x v="21"/>
    <n v="50"/>
    <x v="11"/>
    <n v="0"/>
    <n v="0"/>
    <x v="10"/>
    <x v="15"/>
    <x v="7"/>
    <n v="0"/>
    <x v="11"/>
    <x v="7"/>
  </r>
  <r>
    <x v="13"/>
    <x v="4"/>
    <x v="22"/>
    <n v="45"/>
    <x v="10"/>
    <n v="1"/>
    <n v="0"/>
    <x v="3"/>
    <x v="15"/>
    <x v="7"/>
    <n v="65"/>
    <x v="13"/>
    <x v="4"/>
  </r>
  <r>
    <x v="14"/>
    <x v="4"/>
    <x v="23"/>
    <n v="50"/>
    <x v="11"/>
    <n v="0"/>
    <n v="0"/>
    <x v="10"/>
    <x v="15"/>
    <x v="7"/>
    <n v="0"/>
    <x v="11"/>
    <x v="7"/>
  </r>
  <r>
    <x v="15"/>
    <x v="4"/>
    <x v="24"/>
    <n v="10"/>
    <x v="15"/>
    <n v="7"/>
    <n v="2"/>
    <x v="14"/>
    <x v="15"/>
    <x v="7"/>
    <n v="75"/>
    <x v="22"/>
    <x v="34"/>
  </r>
  <r>
    <x v="16"/>
    <x v="4"/>
    <x v="25"/>
    <n v="20"/>
    <x v="16"/>
    <n v="9"/>
    <n v="3"/>
    <x v="9"/>
    <x v="15"/>
    <x v="7"/>
    <n v="150"/>
    <x v="15"/>
    <x v="14"/>
  </r>
  <r>
    <x v="17"/>
    <x v="5"/>
    <x v="26"/>
    <n v="25"/>
    <x v="12"/>
    <n v="10"/>
    <n v="6"/>
    <x v="2"/>
    <x v="15"/>
    <x v="7"/>
    <n v="120"/>
    <x v="13"/>
    <x v="8"/>
  </r>
  <r>
    <x v="18"/>
    <x v="5"/>
    <x v="27"/>
    <n v="25"/>
    <x v="12"/>
    <n v="8"/>
    <n v="7"/>
    <x v="3"/>
    <x v="15"/>
    <x v="7"/>
    <n v="30"/>
    <x v="28"/>
    <x v="32"/>
  </r>
  <r>
    <x v="19"/>
    <x v="5"/>
    <x v="28"/>
    <n v="25"/>
    <x v="12"/>
    <n v="7"/>
    <n v="5"/>
    <x v="0"/>
    <x v="15"/>
    <x v="7"/>
    <n v="60"/>
    <x v="25"/>
    <x v="9"/>
  </r>
  <r>
    <x v="20"/>
    <x v="5"/>
    <x v="29"/>
    <n v="30"/>
    <x v="17"/>
    <n v="10"/>
    <n v="8"/>
    <x v="0"/>
    <x v="15"/>
    <x v="7"/>
    <n v="70"/>
    <x v="25"/>
    <x v="20"/>
  </r>
  <r>
    <x v="0"/>
    <x v="0"/>
    <x v="0"/>
    <n v="100"/>
    <x v="0"/>
    <n v="2"/>
    <n v="1"/>
    <x v="3"/>
    <x v="16"/>
    <x v="4"/>
    <n v="200"/>
    <x v="3"/>
    <x v="3"/>
  </r>
  <r>
    <x v="1"/>
    <x v="0"/>
    <x v="1"/>
    <n v="200"/>
    <x v="1"/>
    <n v="1"/>
    <n v="1"/>
    <x v="10"/>
    <x v="16"/>
    <x v="4"/>
    <n v="0"/>
    <x v="11"/>
    <x v="7"/>
  </r>
  <r>
    <x v="2"/>
    <x v="0"/>
    <x v="2"/>
    <n v="150"/>
    <x v="2"/>
    <n v="2"/>
    <n v="2"/>
    <x v="10"/>
    <x v="16"/>
    <x v="4"/>
    <n v="0"/>
    <x v="11"/>
    <x v="7"/>
  </r>
  <r>
    <x v="3"/>
    <x v="0"/>
    <x v="3"/>
    <n v="100"/>
    <x v="0"/>
    <n v="1"/>
    <n v="0"/>
    <x v="3"/>
    <x v="16"/>
    <x v="4"/>
    <n v="200"/>
    <x v="3"/>
    <x v="4"/>
  </r>
  <r>
    <x v="0"/>
    <x v="1"/>
    <x v="4"/>
    <n v="250"/>
    <x v="3"/>
    <n v="2"/>
    <n v="1"/>
    <x v="3"/>
    <x v="16"/>
    <x v="4"/>
    <n v="350"/>
    <x v="3"/>
    <x v="3"/>
  </r>
  <r>
    <x v="1"/>
    <x v="1"/>
    <x v="5"/>
    <n v="300"/>
    <x v="4"/>
    <n v="1"/>
    <n v="1"/>
    <x v="10"/>
    <x v="16"/>
    <x v="4"/>
    <n v="0"/>
    <x v="11"/>
    <x v="7"/>
  </r>
  <r>
    <x v="2"/>
    <x v="1"/>
    <x v="6"/>
    <n v="250"/>
    <x v="3"/>
    <n v="1"/>
    <n v="0"/>
    <x v="3"/>
    <x v="16"/>
    <x v="4"/>
    <n v="350"/>
    <x v="3"/>
    <x v="4"/>
  </r>
  <r>
    <x v="3"/>
    <x v="1"/>
    <x v="7"/>
    <n v="250"/>
    <x v="3"/>
    <n v="1"/>
    <n v="0"/>
    <x v="3"/>
    <x v="16"/>
    <x v="4"/>
    <n v="350"/>
    <x v="3"/>
    <x v="4"/>
  </r>
  <r>
    <x v="4"/>
    <x v="1"/>
    <x v="8"/>
    <n v="300"/>
    <x v="5"/>
    <n v="1"/>
    <n v="1"/>
    <x v="10"/>
    <x v="16"/>
    <x v="4"/>
    <n v="0"/>
    <x v="11"/>
    <x v="7"/>
  </r>
  <r>
    <x v="5"/>
    <x v="2"/>
    <x v="9"/>
    <n v="320"/>
    <x v="4"/>
    <n v="0"/>
    <n v="0"/>
    <x v="10"/>
    <x v="16"/>
    <x v="4"/>
    <n v="0"/>
    <x v="11"/>
    <x v="7"/>
  </r>
  <r>
    <x v="6"/>
    <x v="2"/>
    <x v="10"/>
    <n v="100"/>
    <x v="6"/>
    <n v="3"/>
    <n v="3"/>
    <x v="10"/>
    <x v="16"/>
    <x v="4"/>
    <n v="0"/>
    <x v="11"/>
    <x v="7"/>
  </r>
  <r>
    <x v="0"/>
    <x v="3"/>
    <x v="11"/>
    <n v="25"/>
    <x v="7"/>
    <n v="3"/>
    <n v="3"/>
    <x v="10"/>
    <x v="16"/>
    <x v="4"/>
    <n v="0"/>
    <x v="11"/>
    <x v="7"/>
  </r>
  <r>
    <x v="1"/>
    <x v="3"/>
    <x v="12"/>
    <n v="30"/>
    <x v="8"/>
    <n v="5"/>
    <n v="4"/>
    <x v="3"/>
    <x v="16"/>
    <x v="4"/>
    <n v="50"/>
    <x v="13"/>
    <x v="20"/>
  </r>
  <r>
    <x v="3"/>
    <x v="3"/>
    <x v="13"/>
    <n v="25"/>
    <x v="7"/>
    <n v="10"/>
    <n v="10"/>
    <x v="10"/>
    <x v="16"/>
    <x v="4"/>
    <n v="0"/>
    <x v="11"/>
    <x v="7"/>
  </r>
  <r>
    <x v="2"/>
    <x v="3"/>
    <x v="14"/>
    <n v="25"/>
    <x v="7"/>
    <n v="7"/>
    <n v="7"/>
    <x v="10"/>
    <x v="16"/>
    <x v="4"/>
    <n v="0"/>
    <x v="11"/>
    <x v="7"/>
  </r>
  <r>
    <x v="4"/>
    <x v="3"/>
    <x v="15"/>
    <n v="30"/>
    <x v="9"/>
    <n v="9"/>
    <n v="8"/>
    <x v="3"/>
    <x v="16"/>
    <x v="4"/>
    <n v="55"/>
    <x v="22"/>
    <x v="17"/>
  </r>
  <r>
    <x v="7"/>
    <x v="3"/>
    <x v="16"/>
    <n v="40"/>
    <x v="10"/>
    <n v="11"/>
    <n v="8"/>
    <x v="1"/>
    <x v="16"/>
    <x v="4"/>
    <n v="195"/>
    <x v="14"/>
    <x v="63"/>
  </r>
  <r>
    <x v="8"/>
    <x v="3"/>
    <x v="17"/>
    <n v="50"/>
    <x v="11"/>
    <n v="0"/>
    <n v="0"/>
    <x v="10"/>
    <x v="16"/>
    <x v="4"/>
    <n v="0"/>
    <x v="11"/>
    <x v="7"/>
  </r>
  <r>
    <x v="9"/>
    <x v="3"/>
    <x v="18"/>
    <n v="20"/>
    <x v="12"/>
    <n v="22"/>
    <n v="22"/>
    <x v="10"/>
    <x v="16"/>
    <x v="4"/>
    <n v="0"/>
    <x v="11"/>
    <x v="7"/>
  </r>
  <r>
    <x v="10"/>
    <x v="3"/>
    <x v="19"/>
    <n v="10"/>
    <x v="13"/>
    <n v="17"/>
    <n v="17"/>
    <x v="10"/>
    <x v="16"/>
    <x v="4"/>
    <n v="0"/>
    <x v="11"/>
    <x v="7"/>
  </r>
  <r>
    <x v="11"/>
    <x v="3"/>
    <x v="20"/>
    <n v="60"/>
    <x v="14"/>
    <n v="6"/>
    <n v="6"/>
    <x v="10"/>
    <x v="16"/>
    <x v="4"/>
    <n v="0"/>
    <x v="11"/>
    <x v="7"/>
  </r>
  <r>
    <x v="12"/>
    <x v="4"/>
    <x v="21"/>
    <n v="50"/>
    <x v="11"/>
    <n v="0"/>
    <n v="0"/>
    <x v="10"/>
    <x v="16"/>
    <x v="4"/>
    <n v="0"/>
    <x v="11"/>
    <x v="7"/>
  </r>
  <r>
    <x v="13"/>
    <x v="4"/>
    <x v="22"/>
    <n v="45"/>
    <x v="10"/>
    <n v="0"/>
    <n v="0"/>
    <x v="10"/>
    <x v="16"/>
    <x v="4"/>
    <n v="0"/>
    <x v="11"/>
    <x v="7"/>
  </r>
  <r>
    <x v="14"/>
    <x v="4"/>
    <x v="23"/>
    <n v="50"/>
    <x v="11"/>
    <n v="0"/>
    <n v="0"/>
    <x v="10"/>
    <x v="16"/>
    <x v="4"/>
    <n v="0"/>
    <x v="11"/>
    <x v="7"/>
  </r>
  <r>
    <x v="15"/>
    <x v="4"/>
    <x v="24"/>
    <n v="10"/>
    <x v="15"/>
    <n v="2"/>
    <n v="0"/>
    <x v="0"/>
    <x v="16"/>
    <x v="4"/>
    <n v="30"/>
    <x v="25"/>
    <x v="4"/>
  </r>
  <r>
    <x v="16"/>
    <x v="4"/>
    <x v="25"/>
    <n v="20"/>
    <x v="16"/>
    <n v="3"/>
    <n v="0"/>
    <x v="1"/>
    <x v="16"/>
    <x v="4"/>
    <n v="75"/>
    <x v="26"/>
    <x v="4"/>
  </r>
  <r>
    <x v="17"/>
    <x v="5"/>
    <x v="26"/>
    <n v="25"/>
    <x v="12"/>
    <n v="16"/>
    <n v="10"/>
    <x v="9"/>
    <x v="16"/>
    <x v="4"/>
    <n v="180"/>
    <x v="15"/>
    <x v="61"/>
  </r>
  <r>
    <x v="18"/>
    <x v="5"/>
    <x v="27"/>
    <n v="25"/>
    <x v="12"/>
    <n v="7"/>
    <n v="7"/>
    <x v="10"/>
    <x v="16"/>
    <x v="4"/>
    <n v="0"/>
    <x v="11"/>
    <x v="7"/>
  </r>
  <r>
    <x v="19"/>
    <x v="5"/>
    <x v="28"/>
    <n v="25"/>
    <x v="12"/>
    <n v="5"/>
    <n v="5"/>
    <x v="10"/>
    <x v="16"/>
    <x v="4"/>
    <n v="0"/>
    <x v="11"/>
    <x v="7"/>
  </r>
  <r>
    <x v="20"/>
    <x v="5"/>
    <x v="29"/>
    <n v="30"/>
    <x v="17"/>
    <n v="13"/>
    <n v="2"/>
    <x v="18"/>
    <x v="16"/>
    <x v="4"/>
    <n v="385"/>
    <x v="47"/>
    <x v="44"/>
  </r>
  <r>
    <x v="0"/>
    <x v="0"/>
    <x v="0"/>
    <n v="100"/>
    <x v="0"/>
    <n v="3"/>
    <n v="1"/>
    <x v="0"/>
    <x v="17"/>
    <x v="5"/>
    <n v="400"/>
    <x v="0"/>
    <x v="14"/>
  </r>
  <r>
    <x v="1"/>
    <x v="0"/>
    <x v="1"/>
    <n v="200"/>
    <x v="1"/>
    <n v="3"/>
    <n v="3"/>
    <x v="10"/>
    <x v="17"/>
    <x v="5"/>
    <n v="0"/>
    <x v="11"/>
    <x v="7"/>
  </r>
  <r>
    <x v="2"/>
    <x v="0"/>
    <x v="2"/>
    <n v="150"/>
    <x v="2"/>
    <n v="4"/>
    <n v="1"/>
    <x v="1"/>
    <x v="17"/>
    <x v="5"/>
    <n v="750"/>
    <x v="1"/>
    <x v="2"/>
  </r>
  <r>
    <x v="3"/>
    <x v="0"/>
    <x v="3"/>
    <n v="100"/>
    <x v="0"/>
    <n v="2"/>
    <n v="1"/>
    <x v="3"/>
    <x v="17"/>
    <x v="5"/>
    <n v="200"/>
    <x v="3"/>
    <x v="3"/>
  </r>
  <r>
    <x v="0"/>
    <x v="1"/>
    <x v="4"/>
    <n v="250"/>
    <x v="3"/>
    <n v="2"/>
    <n v="2"/>
    <x v="10"/>
    <x v="17"/>
    <x v="5"/>
    <n v="0"/>
    <x v="11"/>
    <x v="7"/>
  </r>
  <r>
    <x v="1"/>
    <x v="1"/>
    <x v="5"/>
    <n v="300"/>
    <x v="4"/>
    <n v="2"/>
    <n v="2"/>
    <x v="10"/>
    <x v="17"/>
    <x v="5"/>
    <n v="0"/>
    <x v="11"/>
    <x v="7"/>
  </r>
  <r>
    <x v="2"/>
    <x v="1"/>
    <x v="6"/>
    <n v="250"/>
    <x v="3"/>
    <n v="2"/>
    <n v="1"/>
    <x v="3"/>
    <x v="17"/>
    <x v="5"/>
    <n v="350"/>
    <x v="3"/>
    <x v="3"/>
  </r>
  <r>
    <x v="3"/>
    <x v="1"/>
    <x v="7"/>
    <n v="250"/>
    <x v="3"/>
    <n v="0"/>
    <n v="0"/>
    <x v="10"/>
    <x v="17"/>
    <x v="5"/>
    <n v="0"/>
    <x v="11"/>
    <x v="7"/>
  </r>
  <r>
    <x v="4"/>
    <x v="1"/>
    <x v="8"/>
    <n v="300"/>
    <x v="5"/>
    <n v="1"/>
    <n v="1"/>
    <x v="10"/>
    <x v="17"/>
    <x v="5"/>
    <n v="0"/>
    <x v="11"/>
    <x v="7"/>
  </r>
  <r>
    <x v="5"/>
    <x v="2"/>
    <x v="9"/>
    <n v="320"/>
    <x v="4"/>
    <n v="0"/>
    <n v="0"/>
    <x v="10"/>
    <x v="17"/>
    <x v="5"/>
    <n v="0"/>
    <x v="11"/>
    <x v="7"/>
  </r>
  <r>
    <x v="6"/>
    <x v="2"/>
    <x v="10"/>
    <n v="100"/>
    <x v="6"/>
    <n v="3"/>
    <n v="3"/>
    <x v="10"/>
    <x v="17"/>
    <x v="5"/>
    <n v="0"/>
    <x v="11"/>
    <x v="7"/>
  </r>
  <r>
    <x v="0"/>
    <x v="3"/>
    <x v="11"/>
    <n v="25"/>
    <x v="7"/>
    <n v="16"/>
    <n v="15"/>
    <x v="3"/>
    <x v="17"/>
    <x v="5"/>
    <n v="40"/>
    <x v="26"/>
    <x v="53"/>
  </r>
  <r>
    <x v="1"/>
    <x v="3"/>
    <x v="12"/>
    <n v="30"/>
    <x v="8"/>
    <n v="13"/>
    <n v="13"/>
    <x v="10"/>
    <x v="17"/>
    <x v="5"/>
    <n v="0"/>
    <x v="11"/>
    <x v="7"/>
  </r>
  <r>
    <x v="3"/>
    <x v="3"/>
    <x v="13"/>
    <n v="25"/>
    <x v="7"/>
    <n v="18"/>
    <n v="15"/>
    <x v="1"/>
    <x v="17"/>
    <x v="5"/>
    <n v="120"/>
    <x v="20"/>
    <x v="25"/>
  </r>
  <r>
    <x v="2"/>
    <x v="3"/>
    <x v="14"/>
    <n v="25"/>
    <x v="7"/>
    <n v="15"/>
    <n v="9"/>
    <x v="9"/>
    <x v="17"/>
    <x v="5"/>
    <n v="240"/>
    <x v="31"/>
    <x v="8"/>
  </r>
  <r>
    <x v="4"/>
    <x v="3"/>
    <x v="15"/>
    <n v="30"/>
    <x v="9"/>
    <n v="16"/>
    <n v="12"/>
    <x v="2"/>
    <x v="17"/>
    <x v="5"/>
    <n v="220"/>
    <x v="3"/>
    <x v="11"/>
  </r>
  <r>
    <x v="7"/>
    <x v="3"/>
    <x v="16"/>
    <n v="40"/>
    <x v="10"/>
    <n v="16"/>
    <n v="9"/>
    <x v="13"/>
    <x v="17"/>
    <x v="5"/>
    <n v="455"/>
    <x v="48"/>
    <x v="69"/>
  </r>
  <r>
    <x v="8"/>
    <x v="3"/>
    <x v="17"/>
    <n v="50"/>
    <x v="11"/>
    <n v="0"/>
    <n v="0"/>
    <x v="10"/>
    <x v="17"/>
    <x v="5"/>
    <n v="0"/>
    <x v="11"/>
    <x v="7"/>
  </r>
  <r>
    <x v="9"/>
    <x v="3"/>
    <x v="18"/>
    <n v="20"/>
    <x v="12"/>
    <n v="22"/>
    <n v="17"/>
    <x v="14"/>
    <x v="17"/>
    <x v="5"/>
    <n v="150"/>
    <x v="24"/>
    <x v="70"/>
  </r>
  <r>
    <x v="10"/>
    <x v="3"/>
    <x v="19"/>
    <n v="10"/>
    <x v="13"/>
    <n v="17"/>
    <n v="17"/>
    <x v="10"/>
    <x v="17"/>
    <x v="5"/>
    <n v="0"/>
    <x v="11"/>
    <x v="7"/>
  </r>
  <r>
    <x v="11"/>
    <x v="3"/>
    <x v="20"/>
    <n v="60"/>
    <x v="14"/>
    <n v="6"/>
    <n v="4"/>
    <x v="0"/>
    <x v="17"/>
    <x v="5"/>
    <n v="200"/>
    <x v="12"/>
    <x v="0"/>
  </r>
  <r>
    <x v="12"/>
    <x v="4"/>
    <x v="21"/>
    <n v="50"/>
    <x v="11"/>
    <n v="4"/>
    <n v="2"/>
    <x v="0"/>
    <x v="17"/>
    <x v="5"/>
    <n v="140"/>
    <x v="29"/>
    <x v="3"/>
  </r>
  <r>
    <x v="13"/>
    <x v="4"/>
    <x v="22"/>
    <n v="45"/>
    <x v="10"/>
    <n v="0"/>
    <n v="0"/>
    <x v="10"/>
    <x v="17"/>
    <x v="5"/>
    <n v="0"/>
    <x v="11"/>
    <x v="7"/>
  </r>
  <r>
    <x v="14"/>
    <x v="4"/>
    <x v="23"/>
    <n v="50"/>
    <x v="11"/>
    <n v="0"/>
    <n v="0"/>
    <x v="10"/>
    <x v="17"/>
    <x v="5"/>
    <n v="0"/>
    <x v="11"/>
    <x v="7"/>
  </r>
  <r>
    <x v="15"/>
    <x v="4"/>
    <x v="24"/>
    <n v="10"/>
    <x v="15"/>
    <n v="5"/>
    <n v="5"/>
    <x v="10"/>
    <x v="17"/>
    <x v="5"/>
    <n v="0"/>
    <x v="11"/>
    <x v="7"/>
  </r>
  <r>
    <x v="16"/>
    <x v="4"/>
    <x v="25"/>
    <n v="20"/>
    <x v="16"/>
    <n v="5"/>
    <n v="4"/>
    <x v="3"/>
    <x v="17"/>
    <x v="5"/>
    <n v="25"/>
    <x v="28"/>
    <x v="20"/>
  </r>
  <r>
    <x v="17"/>
    <x v="5"/>
    <x v="26"/>
    <n v="25"/>
    <x v="12"/>
    <n v="10"/>
    <n v="7"/>
    <x v="1"/>
    <x v="17"/>
    <x v="5"/>
    <n v="90"/>
    <x v="26"/>
    <x v="16"/>
  </r>
  <r>
    <x v="18"/>
    <x v="5"/>
    <x v="27"/>
    <n v="25"/>
    <x v="12"/>
    <n v="7"/>
    <n v="7"/>
    <x v="10"/>
    <x v="17"/>
    <x v="5"/>
    <n v="0"/>
    <x v="11"/>
    <x v="7"/>
  </r>
  <r>
    <x v="19"/>
    <x v="5"/>
    <x v="28"/>
    <n v="25"/>
    <x v="12"/>
    <n v="10"/>
    <n v="9"/>
    <x v="3"/>
    <x v="17"/>
    <x v="5"/>
    <n v="30"/>
    <x v="28"/>
    <x v="35"/>
  </r>
  <r>
    <x v="20"/>
    <x v="5"/>
    <x v="29"/>
    <n v="30"/>
    <x v="17"/>
    <n v="7"/>
    <n v="5"/>
    <x v="0"/>
    <x v="17"/>
    <x v="5"/>
    <n v="70"/>
    <x v="25"/>
    <x v="9"/>
  </r>
  <r>
    <x v="0"/>
    <x v="0"/>
    <x v="0"/>
    <n v="100"/>
    <x v="0"/>
    <n v="4"/>
    <n v="4"/>
    <x v="10"/>
    <x v="18"/>
    <x v="6"/>
    <n v="0"/>
    <x v="11"/>
    <x v="7"/>
  </r>
  <r>
    <x v="1"/>
    <x v="0"/>
    <x v="1"/>
    <n v="200"/>
    <x v="1"/>
    <n v="5"/>
    <n v="0"/>
    <x v="14"/>
    <x v="18"/>
    <x v="6"/>
    <n v="1500"/>
    <x v="6"/>
    <x v="4"/>
  </r>
  <r>
    <x v="2"/>
    <x v="0"/>
    <x v="2"/>
    <n v="150"/>
    <x v="2"/>
    <n v="3"/>
    <n v="3"/>
    <x v="10"/>
    <x v="18"/>
    <x v="6"/>
    <n v="0"/>
    <x v="11"/>
    <x v="7"/>
  </r>
  <r>
    <x v="3"/>
    <x v="0"/>
    <x v="3"/>
    <n v="100"/>
    <x v="0"/>
    <n v="3"/>
    <n v="2"/>
    <x v="3"/>
    <x v="18"/>
    <x v="6"/>
    <n v="200"/>
    <x v="3"/>
    <x v="0"/>
  </r>
  <r>
    <x v="0"/>
    <x v="1"/>
    <x v="4"/>
    <n v="250"/>
    <x v="3"/>
    <n v="4"/>
    <n v="2"/>
    <x v="0"/>
    <x v="18"/>
    <x v="6"/>
    <n v="700"/>
    <x v="0"/>
    <x v="3"/>
  </r>
  <r>
    <x v="1"/>
    <x v="1"/>
    <x v="5"/>
    <n v="300"/>
    <x v="4"/>
    <n v="4"/>
    <n v="1"/>
    <x v="1"/>
    <x v="18"/>
    <x v="6"/>
    <n v="1200"/>
    <x v="1"/>
    <x v="2"/>
  </r>
  <r>
    <x v="2"/>
    <x v="1"/>
    <x v="6"/>
    <n v="250"/>
    <x v="3"/>
    <n v="2"/>
    <n v="0"/>
    <x v="0"/>
    <x v="18"/>
    <x v="6"/>
    <n v="700"/>
    <x v="0"/>
    <x v="4"/>
  </r>
  <r>
    <x v="3"/>
    <x v="1"/>
    <x v="7"/>
    <n v="250"/>
    <x v="3"/>
    <n v="1"/>
    <n v="1"/>
    <x v="10"/>
    <x v="18"/>
    <x v="6"/>
    <n v="0"/>
    <x v="11"/>
    <x v="7"/>
  </r>
  <r>
    <x v="4"/>
    <x v="1"/>
    <x v="8"/>
    <n v="300"/>
    <x v="5"/>
    <n v="2"/>
    <n v="0"/>
    <x v="0"/>
    <x v="18"/>
    <x v="6"/>
    <n v="900"/>
    <x v="1"/>
    <x v="4"/>
  </r>
  <r>
    <x v="5"/>
    <x v="2"/>
    <x v="9"/>
    <n v="320"/>
    <x v="4"/>
    <n v="0"/>
    <n v="0"/>
    <x v="10"/>
    <x v="18"/>
    <x v="6"/>
    <n v="0"/>
    <x v="11"/>
    <x v="7"/>
  </r>
  <r>
    <x v="6"/>
    <x v="2"/>
    <x v="10"/>
    <n v="100"/>
    <x v="6"/>
    <n v="3"/>
    <n v="3"/>
    <x v="10"/>
    <x v="18"/>
    <x v="6"/>
    <n v="0"/>
    <x v="11"/>
    <x v="7"/>
  </r>
  <r>
    <x v="0"/>
    <x v="3"/>
    <x v="11"/>
    <n v="25"/>
    <x v="7"/>
    <n v="15"/>
    <n v="11"/>
    <x v="2"/>
    <x v="18"/>
    <x v="6"/>
    <n v="160"/>
    <x v="16"/>
    <x v="71"/>
  </r>
  <r>
    <x v="1"/>
    <x v="3"/>
    <x v="12"/>
    <n v="30"/>
    <x v="8"/>
    <n v="13"/>
    <n v="11"/>
    <x v="0"/>
    <x v="18"/>
    <x v="6"/>
    <n v="100"/>
    <x v="29"/>
    <x v="72"/>
  </r>
  <r>
    <x v="3"/>
    <x v="3"/>
    <x v="13"/>
    <n v="25"/>
    <x v="7"/>
    <n v="15"/>
    <n v="10"/>
    <x v="14"/>
    <x v="18"/>
    <x v="6"/>
    <n v="200"/>
    <x v="14"/>
    <x v="0"/>
  </r>
  <r>
    <x v="2"/>
    <x v="3"/>
    <x v="14"/>
    <n v="25"/>
    <x v="7"/>
    <n v="9"/>
    <n v="2"/>
    <x v="13"/>
    <x v="18"/>
    <x v="6"/>
    <n v="280"/>
    <x v="21"/>
    <x v="26"/>
  </r>
  <r>
    <x v="4"/>
    <x v="3"/>
    <x v="15"/>
    <n v="30"/>
    <x v="9"/>
    <n v="12"/>
    <n v="6"/>
    <x v="9"/>
    <x v="18"/>
    <x v="6"/>
    <n v="330"/>
    <x v="4"/>
    <x v="3"/>
  </r>
  <r>
    <x v="7"/>
    <x v="3"/>
    <x v="16"/>
    <n v="40"/>
    <x v="10"/>
    <n v="9"/>
    <n v="5"/>
    <x v="2"/>
    <x v="18"/>
    <x v="6"/>
    <n v="260"/>
    <x v="3"/>
    <x v="29"/>
  </r>
  <r>
    <x v="8"/>
    <x v="3"/>
    <x v="17"/>
    <n v="50"/>
    <x v="11"/>
    <n v="0"/>
    <n v="0"/>
    <x v="10"/>
    <x v="18"/>
    <x v="6"/>
    <n v="0"/>
    <x v="11"/>
    <x v="7"/>
  </r>
  <r>
    <x v="9"/>
    <x v="3"/>
    <x v="18"/>
    <n v="20"/>
    <x v="12"/>
    <n v="17"/>
    <n v="13"/>
    <x v="2"/>
    <x v="18"/>
    <x v="6"/>
    <n v="120"/>
    <x v="29"/>
    <x v="73"/>
  </r>
  <r>
    <x v="10"/>
    <x v="3"/>
    <x v="19"/>
    <n v="10"/>
    <x v="13"/>
    <n v="17"/>
    <n v="8"/>
    <x v="22"/>
    <x v="18"/>
    <x v="6"/>
    <n v="180"/>
    <x v="31"/>
    <x v="74"/>
  </r>
  <r>
    <x v="11"/>
    <x v="3"/>
    <x v="20"/>
    <n v="60"/>
    <x v="14"/>
    <n v="4"/>
    <n v="4"/>
    <x v="10"/>
    <x v="18"/>
    <x v="6"/>
    <n v="0"/>
    <x v="11"/>
    <x v="7"/>
  </r>
  <r>
    <x v="12"/>
    <x v="4"/>
    <x v="21"/>
    <n v="50"/>
    <x v="11"/>
    <n v="4"/>
    <n v="2"/>
    <x v="0"/>
    <x v="18"/>
    <x v="6"/>
    <n v="140"/>
    <x v="29"/>
    <x v="3"/>
  </r>
  <r>
    <x v="13"/>
    <x v="4"/>
    <x v="22"/>
    <n v="45"/>
    <x v="10"/>
    <n v="0"/>
    <n v="0"/>
    <x v="10"/>
    <x v="18"/>
    <x v="6"/>
    <n v="0"/>
    <x v="11"/>
    <x v="7"/>
  </r>
  <r>
    <x v="14"/>
    <x v="4"/>
    <x v="23"/>
    <n v="50"/>
    <x v="11"/>
    <n v="0"/>
    <n v="0"/>
    <x v="10"/>
    <x v="18"/>
    <x v="6"/>
    <n v="0"/>
    <x v="11"/>
    <x v="7"/>
  </r>
  <r>
    <x v="15"/>
    <x v="4"/>
    <x v="24"/>
    <n v="10"/>
    <x v="15"/>
    <n v="10"/>
    <n v="3"/>
    <x v="13"/>
    <x v="18"/>
    <x v="6"/>
    <n v="105"/>
    <x v="17"/>
    <x v="31"/>
  </r>
  <r>
    <x v="16"/>
    <x v="4"/>
    <x v="25"/>
    <n v="20"/>
    <x v="16"/>
    <n v="9"/>
    <n v="4"/>
    <x v="14"/>
    <x v="18"/>
    <x v="6"/>
    <n v="125"/>
    <x v="22"/>
    <x v="65"/>
  </r>
  <r>
    <x v="17"/>
    <x v="5"/>
    <x v="26"/>
    <n v="25"/>
    <x v="12"/>
    <n v="15"/>
    <n v="8"/>
    <x v="13"/>
    <x v="18"/>
    <x v="6"/>
    <n v="210"/>
    <x v="17"/>
    <x v="42"/>
  </r>
  <r>
    <x v="18"/>
    <x v="5"/>
    <x v="27"/>
    <n v="25"/>
    <x v="12"/>
    <n v="7"/>
    <n v="6"/>
    <x v="3"/>
    <x v="18"/>
    <x v="6"/>
    <n v="30"/>
    <x v="28"/>
    <x v="10"/>
  </r>
  <r>
    <x v="19"/>
    <x v="5"/>
    <x v="28"/>
    <n v="25"/>
    <x v="12"/>
    <n v="9"/>
    <n v="4"/>
    <x v="14"/>
    <x v="18"/>
    <x v="6"/>
    <n v="150"/>
    <x v="22"/>
    <x v="65"/>
  </r>
  <r>
    <x v="20"/>
    <x v="5"/>
    <x v="29"/>
    <n v="30"/>
    <x v="17"/>
    <n v="8"/>
    <n v="8"/>
    <x v="10"/>
    <x v="18"/>
    <x v="6"/>
    <n v="0"/>
    <x v="11"/>
    <x v="7"/>
  </r>
  <r>
    <x v="0"/>
    <x v="0"/>
    <x v="0"/>
    <n v="100"/>
    <x v="0"/>
    <n v="4"/>
    <n v="2"/>
    <x v="0"/>
    <x v="19"/>
    <x v="0"/>
    <n v="400"/>
    <x v="0"/>
    <x v="3"/>
  </r>
  <r>
    <x v="1"/>
    <x v="0"/>
    <x v="1"/>
    <n v="200"/>
    <x v="1"/>
    <n v="0"/>
    <n v="0"/>
    <x v="10"/>
    <x v="19"/>
    <x v="0"/>
    <n v="0"/>
    <x v="11"/>
    <x v="7"/>
  </r>
  <r>
    <x v="2"/>
    <x v="0"/>
    <x v="2"/>
    <n v="150"/>
    <x v="2"/>
    <n v="3"/>
    <n v="2"/>
    <x v="3"/>
    <x v="19"/>
    <x v="0"/>
    <n v="250"/>
    <x v="3"/>
    <x v="0"/>
  </r>
  <r>
    <x v="3"/>
    <x v="0"/>
    <x v="3"/>
    <n v="100"/>
    <x v="0"/>
    <n v="2"/>
    <n v="1"/>
    <x v="3"/>
    <x v="19"/>
    <x v="0"/>
    <n v="200"/>
    <x v="3"/>
    <x v="3"/>
  </r>
  <r>
    <x v="0"/>
    <x v="1"/>
    <x v="4"/>
    <n v="250"/>
    <x v="3"/>
    <n v="2"/>
    <n v="2"/>
    <x v="10"/>
    <x v="19"/>
    <x v="0"/>
    <n v="0"/>
    <x v="11"/>
    <x v="7"/>
  </r>
  <r>
    <x v="1"/>
    <x v="1"/>
    <x v="5"/>
    <n v="300"/>
    <x v="4"/>
    <n v="1"/>
    <n v="1"/>
    <x v="10"/>
    <x v="19"/>
    <x v="0"/>
    <n v="0"/>
    <x v="11"/>
    <x v="7"/>
  </r>
  <r>
    <x v="2"/>
    <x v="1"/>
    <x v="6"/>
    <n v="250"/>
    <x v="3"/>
    <n v="0"/>
    <n v="0"/>
    <x v="10"/>
    <x v="19"/>
    <x v="0"/>
    <n v="0"/>
    <x v="11"/>
    <x v="7"/>
  </r>
  <r>
    <x v="3"/>
    <x v="1"/>
    <x v="7"/>
    <n v="250"/>
    <x v="3"/>
    <n v="2"/>
    <n v="2"/>
    <x v="10"/>
    <x v="19"/>
    <x v="0"/>
    <n v="0"/>
    <x v="11"/>
    <x v="7"/>
  </r>
  <r>
    <x v="4"/>
    <x v="1"/>
    <x v="8"/>
    <n v="300"/>
    <x v="5"/>
    <n v="0"/>
    <n v="0"/>
    <x v="10"/>
    <x v="19"/>
    <x v="0"/>
    <n v="0"/>
    <x v="11"/>
    <x v="7"/>
  </r>
  <r>
    <x v="5"/>
    <x v="2"/>
    <x v="9"/>
    <n v="320"/>
    <x v="4"/>
    <n v="0"/>
    <n v="0"/>
    <x v="10"/>
    <x v="19"/>
    <x v="0"/>
    <n v="0"/>
    <x v="11"/>
    <x v="7"/>
  </r>
  <r>
    <x v="6"/>
    <x v="2"/>
    <x v="10"/>
    <n v="100"/>
    <x v="6"/>
    <n v="3"/>
    <n v="3"/>
    <x v="10"/>
    <x v="19"/>
    <x v="0"/>
    <n v="0"/>
    <x v="11"/>
    <x v="7"/>
  </r>
  <r>
    <x v="0"/>
    <x v="3"/>
    <x v="11"/>
    <n v="25"/>
    <x v="7"/>
    <n v="11"/>
    <n v="11"/>
    <x v="10"/>
    <x v="19"/>
    <x v="0"/>
    <n v="0"/>
    <x v="11"/>
    <x v="7"/>
  </r>
  <r>
    <x v="1"/>
    <x v="3"/>
    <x v="12"/>
    <n v="30"/>
    <x v="8"/>
    <n v="11"/>
    <n v="11"/>
    <x v="10"/>
    <x v="19"/>
    <x v="0"/>
    <n v="0"/>
    <x v="11"/>
    <x v="7"/>
  </r>
  <r>
    <x v="3"/>
    <x v="3"/>
    <x v="13"/>
    <n v="25"/>
    <x v="7"/>
    <n v="10"/>
    <n v="8"/>
    <x v="0"/>
    <x v="19"/>
    <x v="0"/>
    <n v="80"/>
    <x v="15"/>
    <x v="20"/>
  </r>
  <r>
    <x v="2"/>
    <x v="3"/>
    <x v="14"/>
    <n v="25"/>
    <x v="7"/>
    <n v="2"/>
    <n v="2"/>
    <x v="10"/>
    <x v="19"/>
    <x v="0"/>
    <n v="0"/>
    <x v="11"/>
    <x v="7"/>
  </r>
  <r>
    <x v="4"/>
    <x v="3"/>
    <x v="15"/>
    <n v="30"/>
    <x v="9"/>
    <n v="6"/>
    <n v="4"/>
    <x v="0"/>
    <x v="19"/>
    <x v="0"/>
    <n v="110"/>
    <x v="24"/>
    <x v="0"/>
  </r>
  <r>
    <x v="7"/>
    <x v="3"/>
    <x v="16"/>
    <n v="40"/>
    <x v="10"/>
    <n v="5"/>
    <n v="4"/>
    <x v="3"/>
    <x v="19"/>
    <x v="0"/>
    <n v="65"/>
    <x v="22"/>
    <x v="20"/>
  </r>
  <r>
    <x v="8"/>
    <x v="3"/>
    <x v="17"/>
    <n v="50"/>
    <x v="11"/>
    <n v="0"/>
    <n v="0"/>
    <x v="10"/>
    <x v="19"/>
    <x v="0"/>
    <n v="0"/>
    <x v="11"/>
    <x v="7"/>
  </r>
  <r>
    <x v="9"/>
    <x v="3"/>
    <x v="18"/>
    <n v="20"/>
    <x v="12"/>
    <n v="13"/>
    <n v="13"/>
    <x v="10"/>
    <x v="19"/>
    <x v="0"/>
    <n v="0"/>
    <x v="11"/>
    <x v="7"/>
  </r>
  <r>
    <x v="10"/>
    <x v="3"/>
    <x v="19"/>
    <n v="10"/>
    <x v="13"/>
    <n v="8"/>
    <n v="8"/>
    <x v="10"/>
    <x v="19"/>
    <x v="0"/>
    <n v="0"/>
    <x v="11"/>
    <x v="7"/>
  </r>
  <r>
    <x v="11"/>
    <x v="3"/>
    <x v="20"/>
    <n v="60"/>
    <x v="14"/>
    <n v="4"/>
    <n v="3"/>
    <x v="3"/>
    <x v="19"/>
    <x v="0"/>
    <n v="100"/>
    <x v="29"/>
    <x v="11"/>
  </r>
  <r>
    <x v="12"/>
    <x v="4"/>
    <x v="21"/>
    <n v="50"/>
    <x v="11"/>
    <n v="2"/>
    <n v="2"/>
    <x v="10"/>
    <x v="19"/>
    <x v="0"/>
    <n v="0"/>
    <x v="11"/>
    <x v="7"/>
  </r>
  <r>
    <x v="13"/>
    <x v="4"/>
    <x v="22"/>
    <n v="45"/>
    <x v="10"/>
    <n v="0"/>
    <n v="0"/>
    <x v="10"/>
    <x v="19"/>
    <x v="0"/>
    <n v="0"/>
    <x v="11"/>
    <x v="7"/>
  </r>
  <r>
    <x v="14"/>
    <x v="4"/>
    <x v="23"/>
    <n v="50"/>
    <x v="11"/>
    <n v="0"/>
    <n v="0"/>
    <x v="10"/>
    <x v="19"/>
    <x v="0"/>
    <n v="0"/>
    <x v="11"/>
    <x v="7"/>
  </r>
  <r>
    <x v="15"/>
    <x v="4"/>
    <x v="24"/>
    <n v="10"/>
    <x v="15"/>
    <n v="8"/>
    <n v="8"/>
    <x v="10"/>
    <x v="19"/>
    <x v="0"/>
    <n v="0"/>
    <x v="11"/>
    <x v="7"/>
  </r>
  <r>
    <x v="16"/>
    <x v="4"/>
    <x v="25"/>
    <n v="20"/>
    <x v="16"/>
    <n v="9"/>
    <n v="7"/>
    <x v="0"/>
    <x v="19"/>
    <x v="0"/>
    <n v="50"/>
    <x v="25"/>
    <x v="30"/>
  </r>
  <r>
    <x v="17"/>
    <x v="5"/>
    <x v="26"/>
    <n v="25"/>
    <x v="12"/>
    <n v="8"/>
    <n v="8"/>
    <x v="10"/>
    <x v="19"/>
    <x v="0"/>
    <n v="0"/>
    <x v="11"/>
    <x v="7"/>
  </r>
  <r>
    <x v="18"/>
    <x v="5"/>
    <x v="27"/>
    <n v="25"/>
    <x v="12"/>
    <n v="6"/>
    <n v="6"/>
    <x v="10"/>
    <x v="19"/>
    <x v="0"/>
    <n v="0"/>
    <x v="11"/>
    <x v="7"/>
  </r>
  <r>
    <x v="19"/>
    <x v="5"/>
    <x v="28"/>
    <n v="25"/>
    <x v="12"/>
    <n v="4"/>
    <n v="4"/>
    <x v="10"/>
    <x v="19"/>
    <x v="0"/>
    <n v="0"/>
    <x v="11"/>
    <x v="7"/>
  </r>
  <r>
    <x v="20"/>
    <x v="5"/>
    <x v="29"/>
    <n v="30"/>
    <x v="17"/>
    <n v="8"/>
    <n v="5"/>
    <x v="1"/>
    <x v="19"/>
    <x v="0"/>
    <n v="105"/>
    <x v="26"/>
    <x v="61"/>
  </r>
  <r>
    <x v="0"/>
    <x v="0"/>
    <x v="0"/>
    <n v="100"/>
    <x v="0"/>
    <n v="4"/>
    <n v="1"/>
    <x v="1"/>
    <x v="20"/>
    <x v="1"/>
    <n v="600"/>
    <x v="1"/>
    <x v="2"/>
  </r>
  <r>
    <x v="1"/>
    <x v="0"/>
    <x v="1"/>
    <n v="200"/>
    <x v="1"/>
    <n v="2"/>
    <n v="1"/>
    <x v="3"/>
    <x v="20"/>
    <x v="1"/>
    <n v="300"/>
    <x v="3"/>
    <x v="3"/>
  </r>
  <r>
    <x v="2"/>
    <x v="0"/>
    <x v="2"/>
    <n v="150"/>
    <x v="2"/>
    <n v="2"/>
    <n v="1"/>
    <x v="3"/>
    <x v="20"/>
    <x v="1"/>
    <n v="250"/>
    <x v="3"/>
    <x v="3"/>
  </r>
  <r>
    <x v="3"/>
    <x v="0"/>
    <x v="3"/>
    <n v="100"/>
    <x v="0"/>
    <n v="1"/>
    <n v="1"/>
    <x v="10"/>
    <x v="20"/>
    <x v="1"/>
    <n v="0"/>
    <x v="11"/>
    <x v="7"/>
  </r>
  <r>
    <x v="0"/>
    <x v="1"/>
    <x v="4"/>
    <n v="250"/>
    <x v="3"/>
    <n v="2"/>
    <n v="1"/>
    <x v="3"/>
    <x v="20"/>
    <x v="1"/>
    <n v="350"/>
    <x v="3"/>
    <x v="3"/>
  </r>
  <r>
    <x v="1"/>
    <x v="1"/>
    <x v="5"/>
    <n v="300"/>
    <x v="4"/>
    <n v="1"/>
    <n v="0"/>
    <x v="3"/>
    <x v="20"/>
    <x v="1"/>
    <n v="400"/>
    <x v="3"/>
    <x v="4"/>
  </r>
  <r>
    <x v="2"/>
    <x v="1"/>
    <x v="6"/>
    <n v="250"/>
    <x v="3"/>
    <n v="2"/>
    <n v="2"/>
    <x v="10"/>
    <x v="20"/>
    <x v="1"/>
    <n v="0"/>
    <x v="11"/>
    <x v="7"/>
  </r>
  <r>
    <x v="3"/>
    <x v="1"/>
    <x v="7"/>
    <n v="250"/>
    <x v="3"/>
    <n v="2"/>
    <n v="1"/>
    <x v="3"/>
    <x v="20"/>
    <x v="1"/>
    <n v="350"/>
    <x v="3"/>
    <x v="3"/>
  </r>
  <r>
    <x v="4"/>
    <x v="1"/>
    <x v="8"/>
    <n v="300"/>
    <x v="5"/>
    <n v="0"/>
    <n v="0"/>
    <x v="10"/>
    <x v="20"/>
    <x v="1"/>
    <n v="0"/>
    <x v="11"/>
    <x v="7"/>
  </r>
  <r>
    <x v="5"/>
    <x v="2"/>
    <x v="9"/>
    <n v="320"/>
    <x v="4"/>
    <n v="0"/>
    <n v="0"/>
    <x v="10"/>
    <x v="20"/>
    <x v="1"/>
    <n v="0"/>
    <x v="11"/>
    <x v="7"/>
  </r>
  <r>
    <x v="6"/>
    <x v="2"/>
    <x v="10"/>
    <n v="100"/>
    <x v="6"/>
    <n v="3"/>
    <n v="3"/>
    <x v="10"/>
    <x v="20"/>
    <x v="1"/>
    <n v="0"/>
    <x v="11"/>
    <x v="7"/>
  </r>
  <r>
    <x v="0"/>
    <x v="3"/>
    <x v="11"/>
    <n v="25"/>
    <x v="7"/>
    <n v="11"/>
    <n v="3"/>
    <x v="15"/>
    <x v="20"/>
    <x v="1"/>
    <n v="320"/>
    <x v="33"/>
    <x v="39"/>
  </r>
  <r>
    <x v="1"/>
    <x v="3"/>
    <x v="12"/>
    <n v="30"/>
    <x v="8"/>
    <n v="11"/>
    <n v="5"/>
    <x v="9"/>
    <x v="20"/>
    <x v="1"/>
    <n v="300"/>
    <x v="33"/>
    <x v="54"/>
  </r>
  <r>
    <x v="3"/>
    <x v="3"/>
    <x v="13"/>
    <n v="25"/>
    <x v="7"/>
    <n v="8"/>
    <n v="4"/>
    <x v="2"/>
    <x v="20"/>
    <x v="1"/>
    <n v="160"/>
    <x v="16"/>
    <x v="3"/>
  </r>
  <r>
    <x v="2"/>
    <x v="3"/>
    <x v="14"/>
    <n v="25"/>
    <x v="7"/>
    <n v="2"/>
    <n v="0"/>
    <x v="0"/>
    <x v="20"/>
    <x v="1"/>
    <n v="80"/>
    <x v="15"/>
    <x v="4"/>
  </r>
  <r>
    <x v="4"/>
    <x v="3"/>
    <x v="15"/>
    <n v="30"/>
    <x v="9"/>
    <n v="4"/>
    <n v="4"/>
    <x v="10"/>
    <x v="20"/>
    <x v="1"/>
    <n v="0"/>
    <x v="11"/>
    <x v="7"/>
  </r>
  <r>
    <x v="7"/>
    <x v="3"/>
    <x v="16"/>
    <n v="40"/>
    <x v="10"/>
    <n v="4"/>
    <n v="2"/>
    <x v="0"/>
    <x v="20"/>
    <x v="1"/>
    <n v="130"/>
    <x v="24"/>
    <x v="3"/>
  </r>
  <r>
    <x v="8"/>
    <x v="3"/>
    <x v="17"/>
    <n v="50"/>
    <x v="11"/>
    <n v="0"/>
    <n v="0"/>
    <x v="10"/>
    <x v="20"/>
    <x v="1"/>
    <n v="0"/>
    <x v="11"/>
    <x v="7"/>
  </r>
  <r>
    <x v="9"/>
    <x v="3"/>
    <x v="18"/>
    <n v="20"/>
    <x v="12"/>
    <n v="13"/>
    <n v="11"/>
    <x v="0"/>
    <x v="20"/>
    <x v="1"/>
    <n v="60"/>
    <x v="13"/>
    <x v="72"/>
  </r>
  <r>
    <x v="10"/>
    <x v="3"/>
    <x v="19"/>
    <n v="10"/>
    <x v="13"/>
    <n v="8"/>
    <n v="7"/>
    <x v="3"/>
    <x v="20"/>
    <x v="1"/>
    <n v="20"/>
    <x v="25"/>
    <x v="32"/>
  </r>
  <r>
    <x v="11"/>
    <x v="3"/>
    <x v="20"/>
    <n v="60"/>
    <x v="14"/>
    <n v="3"/>
    <n v="3"/>
    <x v="10"/>
    <x v="20"/>
    <x v="1"/>
    <n v="0"/>
    <x v="11"/>
    <x v="7"/>
  </r>
  <r>
    <x v="12"/>
    <x v="4"/>
    <x v="21"/>
    <n v="50"/>
    <x v="11"/>
    <n v="2"/>
    <n v="2"/>
    <x v="10"/>
    <x v="20"/>
    <x v="1"/>
    <n v="0"/>
    <x v="11"/>
    <x v="7"/>
  </r>
  <r>
    <x v="13"/>
    <x v="4"/>
    <x v="22"/>
    <n v="45"/>
    <x v="10"/>
    <n v="0"/>
    <n v="0"/>
    <x v="10"/>
    <x v="20"/>
    <x v="1"/>
    <n v="0"/>
    <x v="11"/>
    <x v="7"/>
  </r>
  <r>
    <x v="14"/>
    <x v="4"/>
    <x v="23"/>
    <n v="50"/>
    <x v="11"/>
    <n v="0"/>
    <n v="0"/>
    <x v="10"/>
    <x v="20"/>
    <x v="1"/>
    <n v="0"/>
    <x v="11"/>
    <x v="7"/>
  </r>
  <r>
    <x v="15"/>
    <x v="4"/>
    <x v="24"/>
    <n v="10"/>
    <x v="15"/>
    <n v="6"/>
    <n v="0"/>
    <x v="9"/>
    <x v="20"/>
    <x v="1"/>
    <n v="90"/>
    <x v="15"/>
    <x v="4"/>
  </r>
  <r>
    <x v="16"/>
    <x v="4"/>
    <x v="25"/>
    <n v="20"/>
    <x v="16"/>
    <n v="7"/>
    <n v="6"/>
    <x v="3"/>
    <x v="20"/>
    <x v="1"/>
    <n v="25"/>
    <x v="28"/>
    <x v="10"/>
  </r>
  <r>
    <x v="17"/>
    <x v="5"/>
    <x v="26"/>
    <n v="25"/>
    <x v="12"/>
    <n v="8"/>
    <n v="7"/>
    <x v="3"/>
    <x v="20"/>
    <x v="1"/>
    <n v="30"/>
    <x v="28"/>
    <x v="32"/>
  </r>
  <r>
    <x v="18"/>
    <x v="5"/>
    <x v="27"/>
    <n v="25"/>
    <x v="12"/>
    <n v="6"/>
    <n v="3"/>
    <x v="1"/>
    <x v="20"/>
    <x v="1"/>
    <n v="90"/>
    <x v="26"/>
    <x v="3"/>
  </r>
  <r>
    <x v="19"/>
    <x v="5"/>
    <x v="28"/>
    <n v="25"/>
    <x v="12"/>
    <n v="4"/>
    <n v="3"/>
    <x v="3"/>
    <x v="20"/>
    <x v="1"/>
    <n v="30"/>
    <x v="28"/>
    <x v="11"/>
  </r>
  <r>
    <x v="20"/>
    <x v="5"/>
    <x v="29"/>
    <n v="30"/>
    <x v="17"/>
    <n v="5"/>
    <n v="3"/>
    <x v="0"/>
    <x v="20"/>
    <x v="1"/>
    <n v="70"/>
    <x v="25"/>
    <x v="8"/>
  </r>
  <r>
    <x v="0"/>
    <x v="0"/>
    <x v="0"/>
    <n v="100"/>
    <x v="0"/>
    <n v="3"/>
    <n v="2"/>
    <x v="3"/>
    <x v="21"/>
    <x v="3"/>
    <n v="200"/>
    <x v="3"/>
    <x v="0"/>
  </r>
  <r>
    <x v="1"/>
    <x v="0"/>
    <x v="1"/>
    <n v="200"/>
    <x v="1"/>
    <n v="3"/>
    <n v="1"/>
    <x v="0"/>
    <x v="21"/>
    <x v="3"/>
    <n v="600"/>
    <x v="0"/>
    <x v="14"/>
  </r>
  <r>
    <x v="2"/>
    <x v="0"/>
    <x v="2"/>
    <n v="150"/>
    <x v="2"/>
    <n v="3"/>
    <n v="1"/>
    <x v="0"/>
    <x v="21"/>
    <x v="3"/>
    <n v="500"/>
    <x v="0"/>
    <x v="14"/>
  </r>
  <r>
    <x v="3"/>
    <x v="0"/>
    <x v="3"/>
    <n v="100"/>
    <x v="0"/>
    <n v="3"/>
    <n v="2"/>
    <x v="3"/>
    <x v="21"/>
    <x v="3"/>
    <n v="200"/>
    <x v="3"/>
    <x v="0"/>
  </r>
  <r>
    <x v="0"/>
    <x v="1"/>
    <x v="4"/>
    <n v="250"/>
    <x v="3"/>
    <n v="2"/>
    <n v="1"/>
    <x v="3"/>
    <x v="21"/>
    <x v="3"/>
    <n v="350"/>
    <x v="3"/>
    <x v="3"/>
  </r>
  <r>
    <x v="1"/>
    <x v="1"/>
    <x v="5"/>
    <n v="300"/>
    <x v="4"/>
    <n v="1"/>
    <n v="1"/>
    <x v="10"/>
    <x v="21"/>
    <x v="3"/>
    <n v="0"/>
    <x v="11"/>
    <x v="7"/>
  </r>
  <r>
    <x v="2"/>
    <x v="1"/>
    <x v="6"/>
    <n v="250"/>
    <x v="3"/>
    <n v="2"/>
    <n v="2"/>
    <x v="10"/>
    <x v="21"/>
    <x v="3"/>
    <n v="0"/>
    <x v="11"/>
    <x v="7"/>
  </r>
  <r>
    <x v="3"/>
    <x v="1"/>
    <x v="7"/>
    <n v="250"/>
    <x v="3"/>
    <n v="2"/>
    <n v="1"/>
    <x v="3"/>
    <x v="21"/>
    <x v="3"/>
    <n v="350"/>
    <x v="3"/>
    <x v="3"/>
  </r>
  <r>
    <x v="4"/>
    <x v="1"/>
    <x v="8"/>
    <n v="300"/>
    <x v="5"/>
    <n v="1"/>
    <n v="1"/>
    <x v="10"/>
    <x v="21"/>
    <x v="3"/>
    <n v="0"/>
    <x v="11"/>
    <x v="7"/>
  </r>
  <r>
    <x v="5"/>
    <x v="2"/>
    <x v="9"/>
    <n v="320"/>
    <x v="4"/>
    <n v="0"/>
    <n v="0"/>
    <x v="10"/>
    <x v="21"/>
    <x v="3"/>
    <n v="0"/>
    <x v="11"/>
    <x v="7"/>
  </r>
  <r>
    <x v="6"/>
    <x v="2"/>
    <x v="10"/>
    <n v="100"/>
    <x v="6"/>
    <n v="3"/>
    <n v="3"/>
    <x v="10"/>
    <x v="21"/>
    <x v="3"/>
    <n v="0"/>
    <x v="11"/>
    <x v="7"/>
  </r>
  <r>
    <x v="0"/>
    <x v="3"/>
    <x v="11"/>
    <n v="25"/>
    <x v="7"/>
    <n v="13"/>
    <n v="13"/>
    <x v="10"/>
    <x v="21"/>
    <x v="3"/>
    <n v="0"/>
    <x v="11"/>
    <x v="7"/>
  </r>
  <r>
    <x v="1"/>
    <x v="3"/>
    <x v="12"/>
    <n v="30"/>
    <x v="8"/>
    <n v="15"/>
    <n v="12"/>
    <x v="1"/>
    <x v="21"/>
    <x v="3"/>
    <n v="150"/>
    <x v="16"/>
    <x v="20"/>
  </r>
  <r>
    <x v="3"/>
    <x v="3"/>
    <x v="13"/>
    <n v="25"/>
    <x v="7"/>
    <n v="14"/>
    <n v="14"/>
    <x v="10"/>
    <x v="21"/>
    <x v="3"/>
    <n v="0"/>
    <x v="11"/>
    <x v="7"/>
  </r>
  <r>
    <x v="2"/>
    <x v="3"/>
    <x v="14"/>
    <n v="25"/>
    <x v="7"/>
    <n v="10"/>
    <n v="10"/>
    <x v="10"/>
    <x v="21"/>
    <x v="3"/>
    <n v="0"/>
    <x v="11"/>
    <x v="7"/>
  </r>
  <r>
    <x v="4"/>
    <x v="3"/>
    <x v="15"/>
    <n v="30"/>
    <x v="9"/>
    <n v="4"/>
    <n v="3"/>
    <x v="3"/>
    <x v="21"/>
    <x v="3"/>
    <n v="55"/>
    <x v="22"/>
    <x v="11"/>
  </r>
  <r>
    <x v="7"/>
    <x v="3"/>
    <x v="16"/>
    <n v="40"/>
    <x v="10"/>
    <n v="22"/>
    <n v="22"/>
    <x v="10"/>
    <x v="21"/>
    <x v="3"/>
    <n v="0"/>
    <x v="11"/>
    <x v="7"/>
  </r>
  <r>
    <x v="8"/>
    <x v="3"/>
    <x v="17"/>
    <n v="50"/>
    <x v="11"/>
    <n v="0"/>
    <n v="0"/>
    <x v="10"/>
    <x v="21"/>
    <x v="3"/>
    <n v="0"/>
    <x v="11"/>
    <x v="7"/>
  </r>
  <r>
    <x v="9"/>
    <x v="3"/>
    <x v="18"/>
    <n v="20"/>
    <x v="12"/>
    <n v="11"/>
    <n v="11"/>
    <x v="10"/>
    <x v="21"/>
    <x v="3"/>
    <n v="0"/>
    <x v="11"/>
    <x v="7"/>
  </r>
  <r>
    <x v="10"/>
    <x v="3"/>
    <x v="19"/>
    <n v="10"/>
    <x v="13"/>
    <n v="7"/>
    <n v="7"/>
    <x v="10"/>
    <x v="21"/>
    <x v="3"/>
    <n v="0"/>
    <x v="11"/>
    <x v="7"/>
  </r>
  <r>
    <x v="11"/>
    <x v="3"/>
    <x v="20"/>
    <n v="60"/>
    <x v="14"/>
    <n v="3"/>
    <n v="3"/>
    <x v="10"/>
    <x v="21"/>
    <x v="3"/>
    <n v="0"/>
    <x v="11"/>
    <x v="7"/>
  </r>
  <r>
    <x v="12"/>
    <x v="4"/>
    <x v="21"/>
    <n v="50"/>
    <x v="11"/>
    <n v="4"/>
    <n v="4"/>
    <x v="10"/>
    <x v="21"/>
    <x v="3"/>
    <n v="0"/>
    <x v="11"/>
    <x v="7"/>
  </r>
  <r>
    <x v="13"/>
    <x v="4"/>
    <x v="22"/>
    <n v="45"/>
    <x v="10"/>
    <n v="0"/>
    <n v="0"/>
    <x v="10"/>
    <x v="21"/>
    <x v="3"/>
    <n v="0"/>
    <x v="11"/>
    <x v="7"/>
  </r>
  <r>
    <x v="14"/>
    <x v="4"/>
    <x v="23"/>
    <n v="50"/>
    <x v="11"/>
    <n v="0"/>
    <n v="0"/>
    <x v="10"/>
    <x v="21"/>
    <x v="3"/>
    <n v="0"/>
    <x v="11"/>
    <x v="7"/>
  </r>
  <r>
    <x v="15"/>
    <x v="4"/>
    <x v="24"/>
    <n v="10"/>
    <x v="15"/>
    <n v="9"/>
    <n v="4"/>
    <x v="14"/>
    <x v="21"/>
    <x v="3"/>
    <n v="75"/>
    <x v="22"/>
    <x v="65"/>
  </r>
  <r>
    <x v="16"/>
    <x v="4"/>
    <x v="25"/>
    <n v="20"/>
    <x v="16"/>
    <n v="11"/>
    <n v="11"/>
    <x v="10"/>
    <x v="21"/>
    <x v="3"/>
    <n v="0"/>
    <x v="11"/>
    <x v="7"/>
  </r>
  <r>
    <x v="17"/>
    <x v="5"/>
    <x v="26"/>
    <n v="25"/>
    <x v="12"/>
    <n v="17"/>
    <n v="10"/>
    <x v="13"/>
    <x v="21"/>
    <x v="3"/>
    <n v="210"/>
    <x v="17"/>
    <x v="48"/>
  </r>
  <r>
    <x v="18"/>
    <x v="5"/>
    <x v="27"/>
    <n v="25"/>
    <x v="12"/>
    <n v="3"/>
    <n v="1"/>
    <x v="0"/>
    <x v="21"/>
    <x v="3"/>
    <n v="60"/>
    <x v="25"/>
    <x v="14"/>
  </r>
  <r>
    <x v="19"/>
    <x v="5"/>
    <x v="28"/>
    <n v="25"/>
    <x v="12"/>
    <n v="8"/>
    <n v="1"/>
    <x v="13"/>
    <x v="21"/>
    <x v="3"/>
    <n v="210"/>
    <x v="17"/>
    <x v="60"/>
  </r>
  <r>
    <x v="20"/>
    <x v="5"/>
    <x v="29"/>
    <n v="30"/>
    <x v="17"/>
    <n v="13"/>
    <n v="10"/>
    <x v="1"/>
    <x v="21"/>
    <x v="3"/>
    <n v="105"/>
    <x v="26"/>
    <x v="40"/>
  </r>
  <r>
    <x v="0"/>
    <x v="0"/>
    <x v="0"/>
    <n v="100"/>
    <x v="0"/>
    <n v="3"/>
    <n v="3"/>
    <x v="10"/>
    <x v="22"/>
    <x v="4"/>
    <n v="0"/>
    <x v="11"/>
    <x v="7"/>
  </r>
  <r>
    <x v="1"/>
    <x v="0"/>
    <x v="1"/>
    <n v="200"/>
    <x v="1"/>
    <n v="3"/>
    <n v="3"/>
    <x v="10"/>
    <x v="22"/>
    <x v="4"/>
    <n v="0"/>
    <x v="11"/>
    <x v="7"/>
  </r>
  <r>
    <x v="2"/>
    <x v="0"/>
    <x v="2"/>
    <n v="150"/>
    <x v="2"/>
    <n v="3"/>
    <n v="2"/>
    <x v="3"/>
    <x v="22"/>
    <x v="4"/>
    <n v="250"/>
    <x v="3"/>
    <x v="0"/>
  </r>
  <r>
    <x v="3"/>
    <x v="0"/>
    <x v="3"/>
    <n v="100"/>
    <x v="0"/>
    <n v="2"/>
    <n v="0"/>
    <x v="0"/>
    <x v="22"/>
    <x v="4"/>
    <n v="400"/>
    <x v="0"/>
    <x v="4"/>
  </r>
  <r>
    <x v="0"/>
    <x v="1"/>
    <x v="4"/>
    <n v="250"/>
    <x v="3"/>
    <n v="3"/>
    <n v="3"/>
    <x v="10"/>
    <x v="22"/>
    <x v="4"/>
    <n v="0"/>
    <x v="11"/>
    <x v="7"/>
  </r>
  <r>
    <x v="1"/>
    <x v="1"/>
    <x v="5"/>
    <n v="300"/>
    <x v="4"/>
    <n v="1"/>
    <n v="0"/>
    <x v="3"/>
    <x v="22"/>
    <x v="4"/>
    <n v="400"/>
    <x v="3"/>
    <x v="4"/>
  </r>
  <r>
    <x v="2"/>
    <x v="1"/>
    <x v="6"/>
    <n v="250"/>
    <x v="3"/>
    <n v="3"/>
    <n v="2"/>
    <x v="3"/>
    <x v="22"/>
    <x v="4"/>
    <n v="350"/>
    <x v="3"/>
    <x v="0"/>
  </r>
  <r>
    <x v="3"/>
    <x v="1"/>
    <x v="7"/>
    <n v="250"/>
    <x v="3"/>
    <n v="2"/>
    <n v="2"/>
    <x v="10"/>
    <x v="22"/>
    <x v="4"/>
    <n v="0"/>
    <x v="11"/>
    <x v="7"/>
  </r>
  <r>
    <x v="4"/>
    <x v="1"/>
    <x v="8"/>
    <n v="300"/>
    <x v="5"/>
    <n v="1"/>
    <n v="1"/>
    <x v="10"/>
    <x v="22"/>
    <x v="4"/>
    <n v="0"/>
    <x v="11"/>
    <x v="7"/>
  </r>
  <r>
    <x v="5"/>
    <x v="2"/>
    <x v="9"/>
    <n v="320"/>
    <x v="4"/>
    <n v="0"/>
    <n v="0"/>
    <x v="10"/>
    <x v="22"/>
    <x v="4"/>
    <n v="0"/>
    <x v="11"/>
    <x v="7"/>
  </r>
  <r>
    <x v="6"/>
    <x v="2"/>
    <x v="10"/>
    <n v="100"/>
    <x v="6"/>
    <n v="3"/>
    <n v="3"/>
    <x v="10"/>
    <x v="22"/>
    <x v="4"/>
    <n v="0"/>
    <x v="11"/>
    <x v="7"/>
  </r>
  <r>
    <x v="0"/>
    <x v="3"/>
    <x v="11"/>
    <n v="25"/>
    <x v="7"/>
    <n v="13"/>
    <n v="6"/>
    <x v="13"/>
    <x v="22"/>
    <x v="4"/>
    <n v="280"/>
    <x v="21"/>
    <x v="75"/>
  </r>
  <r>
    <x v="1"/>
    <x v="3"/>
    <x v="12"/>
    <n v="30"/>
    <x v="8"/>
    <n v="12"/>
    <n v="11"/>
    <x v="3"/>
    <x v="22"/>
    <x v="4"/>
    <n v="50"/>
    <x v="13"/>
    <x v="76"/>
  </r>
  <r>
    <x v="3"/>
    <x v="3"/>
    <x v="13"/>
    <n v="25"/>
    <x v="7"/>
    <n v="14"/>
    <n v="13"/>
    <x v="3"/>
    <x v="22"/>
    <x v="4"/>
    <n v="40"/>
    <x v="26"/>
    <x v="77"/>
  </r>
  <r>
    <x v="2"/>
    <x v="3"/>
    <x v="14"/>
    <n v="25"/>
    <x v="7"/>
    <n v="10"/>
    <n v="1"/>
    <x v="22"/>
    <x v="22"/>
    <x v="4"/>
    <n v="360"/>
    <x v="43"/>
    <x v="78"/>
  </r>
  <r>
    <x v="4"/>
    <x v="3"/>
    <x v="15"/>
    <n v="30"/>
    <x v="9"/>
    <n v="3"/>
    <n v="1"/>
    <x v="0"/>
    <x v="22"/>
    <x v="4"/>
    <n v="110"/>
    <x v="24"/>
    <x v="14"/>
  </r>
  <r>
    <x v="7"/>
    <x v="3"/>
    <x v="16"/>
    <n v="40"/>
    <x v="10"/>
    <n v="22"/>
    <n v="11"/>
    <x v="18"/>
    <x v="22"/>
    <x v="4"/>
    <n v="715"/>
    <x v="44"/>
    <x v="3"/>
  </r>
  <r>
    <x v="8"/>
    <x v="3"/>
    <x v="17"/>
    <n v="50"/>
    <x v="11"/>
    <n v="0"/>
    <n v="0"/>
    <x v="10"/>
    <x v="22"/>
    <x v="4"/>
    <n v="0"/>
    <x v="11"/>
    <x v="7"/>
  </r>
  <r>
    <x v="9"/>
    <x v="3"/>
    <x v="18"/>
    <n v="20"/>
    <x v="12"/>
    <n v="11"/>
    <n v="11"/>
    <x v="10"/>
    <x v="22"/>
    <x v="4"/>
    <n v="0"/>
    <x v="11"/>
    <x v="7"/>
  </r>
  <r>
    <x v="10"/>
    <x v="3"/>
    <x v="19"/>
    <n v="10"/>
    <x v="13"/>
    <n v="7"/>
    <n v="7"/>
    <x v="10"/>
    <x v="22"/>
    <x v="4"/>
    <n v="0"/>
    <x v="11"/>
    <x v="7"/>
  </r>
  <r>
    <x v="11"/>
    <x v="3"/>
    <x v="20"/>
    <n v="60"/>
    <x v="14"/>
    <n v="3"/>
    <n v="3"/>
    <x v="10"/>
    <x v="22"/>
    <x v="4"/>
    <n v="0"/>
    <x v="11"/>
    <x v="7"/>
  </r>
  <r>
    <x v="12"/>
    <x v="4"/>
    <x v="21"/>
    <n v="50"/>
    <x v="11"/>
    <n v="4"/>
    <n v="3"/>
    <x v="3"/>
    <x v="22"/>
    <x v="4"/>
    <n v="70"/>
    <x v="13"/>
    <x v="11"/>
  </r>
  <r>
    <x v="13"/>
    <x v="4"/>
    <x v="22"/>
    <n v="45"/>
    <x v="10"/>
    <n v="0"/>
    <n v="0"/>
    <x v="10"/>
    <x v="22"/>
    <x v="4"/>
    <n v="0"/>
    <x v="11"/>
    <x v="7"/>
  </r>
  <r>
    <x v="14"/>
    <x v="4"/>
    <x v="23"/>
    <n v="50"/>
    <x v="11"/>
    <n v="0"/>
    <n v="0"/>
    <x v="10"/>
    <x v="22"/>
    <x v="4"/>
    <n v="0"/>
    <x v="11"/>
    <x v="7"/>
  </r>
  <r>
    <x v="15"/>
    <x v="4"/>
    <x v="24"/>
    <n v="10"/>
    <x v="15"/>
    <n v="4"/>
    <n v="1"/>
    <x v="1"/>
    <x v="22"/>
    <x v="4"/>
    <n v="45"/>
    <x v="26"/>
    <x v="2"/>
  </r>
  <r>
    <x v="16"/>
    <x v="4"/>
    <x v="25"/>
    <n v="20"/>
    <x v="16"/>
    <n v="11"/>
    <n v="5"/>
    <x v="9"/>
    <x v="22"/>
    <x v="4"/>
    <n v="150"/>
    <x v="15"/>
    <x v="54"/>
  </r>
  <r>
    <x v="17"/>
    <x v="5"/>
    <x v="26"/>
    <n v="25"/>
    <x v="12"/>
    <n v="10"/>
    <n v="8"/>
    <x v="0"/>
    <x v="22"/>
    <x v="4"/>
    <n v="60"/>
    <x v="25"/>
    <x v="20"/>
  </r>
  <r>
    <x v="18"/>
    <x v="5"/>
    <x v="27"/>
    <n v="25"/>
    <x v="12"/>
    <n v="6"/>
    <n v="6"/>
    <x v="10"/>
    <x v="22"/>
    <x v="4"/>
    <n v="0"/>
    <x v="11"/>
    <x v="7"/>
  </r>
  <r>
    <x v="19"/>
    <x v="5"/>
    <x v="28"/>
    <n v="25"/>
    <x v="12"/>
    <n v="6"/>
    <n v="5"/>
    <x v="3"/>
    <x v="22"/>
    <x v="4"/>
    <n v="30"/>
    <x v="28"/>
    <x v="25"/>
  </r>
  <r>
    <x v="20"/>
    <x v="5"/>
    <x v="29"/>
    <n v="30"/>
    <x v="17"/>
    <n v="10"/>
    <n v="5"/>
    <x v="14"/>
    <x v="22"/>
    <x v="4"/>
    <n v="175"/>
    <x v="22"/>
    <x v="3"/>
  </r>
  <r>
    <x v="0"/>
    <x v="0"/>
    <x v="0"/>
    <n v="100"/>
    <x v="0"/>
    <n v="4"/>
    <n v="1"/>
    <x v="1"/>
    <x v="23"/>
    <x v="5"/>
    <n v="600"/>
    <x v="1"/>
    <x v="2"/>
  </r>
  <r>
    <x v="1"/>
    <x v="0"/>
    <x v="1"/>
    <n v="200"/>
    <x v="1"/>
    <n v="4"/>
    <n v="4"/>
    <x v="10"/>
    <x v="23"/>
    <x v="5"/>
    <n v="0"/>
    <x v="11"/>
    <x v="7"/>
  </r>
  <r>
    <x v="2"/>
    <x v="0"/>
    <x v="2"/>
    <n v="150"/>
    <x v="2"/>
    <n v="3"/>
    <n v="3"/>
    <x v="10"/>
    <x v="23"/>
    <x v="5"/>
    <n v="0"/>
    <x v="11"/>
    <x v="7"/>
  </r>
  <r>
    <x v="3"/>
    <x v="0"/>
    <x v="3"/>
    <n v="100"/>
    <x v="0"/>
    <n v="3"/>
    <n v="3"/>
    <x v="10"/>
    <x v="23"/>
    <x v="5"/>
    <n v="0"/>
    <x v="11"/>
    <x v="7"/>
  </r>
  <r>
    <x v="0"/>
    <x v="1"/>
    <x v="4"/>
    <n v="250"/>
    <x v="3"/>
    <n v="3"/>
    <n v="1"/>
    <x v="0"/>
    <x v="23"/>
    <x v="5"/>
    <n v="700"/>
    <x v="0"/>
    <x v="14"/>
  </r>
  <r>
    <x v="1"/>
    <x v="1"/>
    <x v="5"/>
    <n v="300"/>
    <x v="4"/>
    <n v="0"/>
    <n v="0"/>
    <x v="10"/>
    <x v="23"/>
    <x v="5"/>
    <n v="0"/>
    <x v="11"/>
    <x v="7"/>
  </r>
  <r>
    <x v="2"/>
    <x v="1"/>
    <x v="6"/>
    <n v="250"/>
    <x v="3"/>
    <n v="2"/>
    <n v="2"/>
    <x v="10"/>
    <x v="23"/>
    <x v="5"/>
    <n v="0"/>
    <x v="11"/>
    <x v="7"/>
  </r>
  <r>
    <x v="3"/>
    <x v="1"/>
    <x v="7"/>
    <n v="250"/>
    <x v="3"/>
    <n v="2"/>
    <n v="2"/>
    <x v="10"/>
    <x v="23"/>
    <x v="5"/>
    <n v="0"/>
    <x v="11"/>
    <x v="7"/>
  </r>
  <r>
    <x v="4"/>
    <x v="1"/>
    <x v="8"/>
    <n v="300"/>
    <x v="5"/>
    <n v="1"/>
    <n v="1"/>
    <x v="10"/>
    <x v="23"/>
    <x v="5"/>
    <n v="0"/>
    <x v="11"/>
    <x v="7"/>
  </r>
  <r>
    <x v="5"/>
    <x v="2"/>
    <x v="9"/>
    <n v="320"/>
    <x v="4"/>
    <n v="0"/>
    <n v="0"/>
    <x v="10"/>
    <x v="23"/>
    <x v="5"/>
    <n v="0"/>
    <x v="11"/>
    <x v="7"/>
  </r>
  <r>
    <x v="6"/>
    <x v="2"/>
    <x v="10"/>
    <n v="100"/>
    <x v="6"/>
    <n v="3"/>
    <n v="3"/>
    <x v="10"/>
    <x v="23"/>
    <x v="5"/>
    <n v="0"/>
    <x v="11"/>
    <x v="7"/>
  </r>
  <r>
    <x v="0"/>
    <x v="3"/>
    <x v="11"/>
    <n v="25"/>
    <x v="7"/>
    <n v="6"/>
    <n v="5"/>
    <x v="3"/>
    <x v="23"/>
    <x v="5"/>
    <n v="40"/>
    <x v="26"/>
    <x v="25"/>
  </r>
  <r>
    <x v="1"/>
    <x v="3"/>
    <x v="12"/>
    <n v="30"/>
    <x v="8"/>
    <n v="11"/>
    <n v="10"/>
    <x v="3"/>
    <x v="23"/>
    <x v="5"/>
    <n v="50"/>
    <x v="13"/>
    <x v="51"/>
  </r>
  <r>
    <x v="3"/>
    <x v="3"/>
    <x v="13"/>
    <n v="25"/>
    <x v="7"/>
    <n v="13"/>
    <n v="9"/>
    <x v="2"/>
    <x v="23"/>
    <x v="5"/>
    <n v="160"/>
    <x v="16"/>
    <x v="55"/>
  </r>
  <r>
    <x v="2"/>
    <x v="3"/>
    <x v="14"/>
    <n v="25"/>
    <x v="7"/>
    <n v="1"/>
    <n v="0"/>
    <x v="3"/>
    <x v="23"/>
    <x v="5"/>
    <n v="40"/>
    <x v="26"/>
    <x v="4"/>
  </r>
  <r>
    <x v="4"/>
    <x v="3"/>
    <x v="15"/>
    <n v="30"/>
    <x v="9"/>
    <n v="1"/>
    <n v="1"/>
    <x v="10"/>
    <x v="23"/>
    <x v="5"/>
    <n v="0"/>
    <x v="11"/>
    <x v="7"/>
  </r>
  <r>
    <x v="7"/>
    <x v="3"/>
    <x v="16"/>
    <n v="40"/>
    <x v="10"/>
    <n v="21"/>
    <n v="19"/>
    <x v="0"/>
    <x v="23"/>
    <x v="5"/>
    <n v="130"/>
    <x v="24"/>
    <x v="79"/>
  </r>
  <r>
    <x v="8"/>
    <x v="3"/>
    <x v="17"/>
    <n v="50"/>
    <x v="11"/>
    <n v="0"/>
    <n v="0"/>
    <x v="10"/>
    <x v="23"/>
    <x v="5"/>
    <n v="0"/>
    <x v="11"/>
    <x v="7"/>
  </r>
  <r>
    <x v="9"/>
    <x v="3"/>
    <x v="18"/>
    <n v="20"/>
    <x v="12"/>
    <n v="11"/>
    <n v="11"/>
    <x v="10"/>
    <x v="23"/>
    <x v="5"/>
    <n v="0"/>
    <x v="11"/>
    <x v="7"/>
  </r>
  <r>
    <x v="10"/>
    <x v="3"/>
    <x v="19"/>
    <n v="10"/>
    <x v="13"/>
    <n v="7"/>
    <n v="7"/>
    <x v="10"/>
    <x v="23"/>
    <x v="5"/>
    <n v="0"/>
    <x v="11"/>
    <x v="7"/>
  </r>
  <r>
    <x v="11"/>
    <x v="3"/>
    <x v="20"/>
    <n v="60"/>
    <x v="14"/>
    <n v="3"/>
    <n v="3"/>
    <x v="10"/>
    <x v="23"/>
    <x v="5"/>
    <n v="0"/>
    <x v="11"/>
    <x v="7"/>
  </r>
  <r>
    <x v="12"/>
    <x v="4"/>
    <x v="21"/>
    <n v="50"/>
    <x v="11"/>
    <n v="3"/>
    <n v="3"/>
    <x v="10"/>
    <x v="23"/>
    <x v="5"/>
    <n v="0"/>
    <x v="11"/>
    <x v="7"/>
  </r>
  <r>
    <x v="13"/>
    <x v="4"/>
    <x v="22"/>
    <n v="45"/>
    <x v="10"/>
    <n v="0"/>
    <n v="0"/>
    <x v="10"/>
    <x v="23"/>
    <x v="5"/>
    <n v="0"/>
    <x v="11"/>
    <x v="7"/>
  </r>
  <r>
    <x v="14"/>
    <x v="4"/>
    <x v="23"/>
    <n v="50"/>
    <x v="11"/>
    <n v="0"/>
    <n v="0"/>
    <x v="10"/>
    <x v="23"/>
    <x v="5"/>
    <n v="0"/>
    <x v="11"/>
    <x v="7"/>
  </r>
  <r>
    <x v="15"/>
    <x v="4"/>
    <x v="24"/>
    <n v="10"/>
    <x v="15"/>
    <n v="11"/>
    <n v="0"/>
    <x v="18"/>
    <x v="23"/>
    <x v="5"/>
    <n v="165"/>
    <x v="47"/>
    <x v="4"/>
  </r>
  <r>
    <x v="16"/>
    <x v="4"/>
    <x v="25"/>
    <n v="20"/>
    <x v="16"/>
    <n v="10"/>
    <n v="8"/>
    <x v="0"/>
    <x v="23"/>
    <x v="5"/>
    <n v="50"/>
    <x v="25"/>
    <x v="20"/>
  </r>
  <r>
    <x v="17"/>
    <x v="5"/>
    <x v="26"/>
    <n v="25"/>
    <x v="12"/>
    <n v="8"/>
    <n v="12"/>
    <x v="23"/>
    <x v="23"/>
    <x v="5"/>
    <n v="-120"/>
    <x v="49"/>
    <x v="80"/>
  </r>
  <r>
    <x v="18"/>
    <x v="5"/>
    <x v="27"/>
    <n v="25"/>
    <x v="12"/>
    <n v="6"/>
    <n v="2"/>
    <x v="2"/>
    <x v="23"/>
    <x v="5"/>
    <n v="120"/>
    <x v="13"/>
    <x v="14"/>
  </r>
  <r>
    <x v="19"/>
    <x v="5"/>
    <x v="28"/>
    <n v="25"/>
    <x v="12"/>
    <n v="5"/>
    <n v="5"/>
    <x v="10"/>
    <x v="23"/>
    <x v="5"/>
    <n v="0"/>
    <x v="11"/>
    <x v="7"/>
  </r>
  <r>
    <x v="20"/>
    <x v="5"/>
    <x v="29"/>
    <n v="30"/>
    <x v="17"/>
    <n v="15"/>
    <n v="11"/>
    <x v="2"/>
    <x v="23"/>
    <x v="5"/>
    <n v="140"/>
    <x v="13"/>
    <x v="71"/>
  </r>
  <r>
    <x v="0"/>
    <x v="0"/>
    <x v="0"/>
    <n v="100"/>
    <x v="0"/>
    <n v="2"/>
    <n v="2"/>
    <x v="10"/>
    <x v="24"/>
    <x v="6"/>
    <n v="0"/>
    <x v="11"/>
    <x v="7"/>
  </r>
  <r>
    <x v="1"/>
    <x v="0"/>
    <x v="1"/>
    <n v="200"/>
    <x v="1"/>
    <n v="4"/>
    <n v="2"/>
    <x v="0"/>
    <x v="24"/>
    <x v="6"/>
    <n v="600"/>
    <x v="0"/>
    <x v="3"/>
  </r>
  <r>
    <x v="2"/>
    <x v="0"/>
    <x v="2"/>
    <n v="150"/>
    <x v="2"/>
    <n v="3"/>
    <n v="3"/>
    <x v="10"/>
    <x v="24"/>
    <x v="6"/>
    <n v="0"/>
    <x v="11"/>
    <x v="7"/>
  </r>
  <r>
    <x v="3"/>
    <x v="0"/>
    <x v="3"/>
    <n v="100"/>
    <x v="0"/>
    <n v="3"/>
    <n v="1"/>
    <x v="0"/>
    <x v="24"/>
    <x v="6"/>
    <n v="400"/>
    <x v="0"/>
    <x v="14"/>
  </r>
  <r>
    <x v="0"/>
    <x v="1"/>
    <x v="4"/>
    <n v="250"/>
    <x v="3"/>
    <n v="1"/>
    <n v="0"/>
    <x v="3"/>
    <x v="24"/>
    <x v="6"/>
    <n v="350"/>
    <x v="3"/>
    <x v="4"/>
  </r>
  <r>
    <x v="1"/>
    <x v="1"/>
    <x v="5"/>
    <n v="300"/>
    <x v="4"/>
    <n v="0"/>
    <n v="0"/>
    <x v="10"/>
    <x v="24"/>
    <x v="6"/>
    <n v="0"/>
    <x v="11"/>
    <x v="7"/>
  </r>
  <r>
    <x v="2"/>
    <x v="1"/>
    <x v="6"/>
    <n v="250"/>
    <x v="3"/>
    <n v="2"/>
    <n v="1"/>
    <x v="3"/>
    <x v="24"/>
    <x v="6"/>
    <n v="350"/>
    <x v="3"/>
    <x v="3"/>
  </r>
  <r>
    <x v="3"/>
    <x v="1"/>
    <x v="7"/>
    <n v="250"/>
    <x v="3"/>
    <n v="2"/>
    <n v="1"/>
    <x v="3"/>
    <x v="24"/>
    <x v="6"/>
    <n v="350"/>
    <x v="3"/>
    <x v="3"/>
  </r>
  <r>
    <x v="4"/>
    <x v="1"/>
    <x v="8"/>
    <n v="300"/>
    <x v="5"/>
    <n v="1"/>
    <n v="1"/>
    <x v="10"/>
    <x v="24"/>
    <x v="6"/>
    <n v="0"/>
    <x v="11"/>
    <x v="7"/>
  </r>
  <r>
    <x v="5"/>
    <x v="2"/>
    <x v="9"/>
    <n v="320"/>
    <x v="4"/>
    <n v="0"/>
    <n v="0"/>
    <x v="10"/>
    <x v="24"/>
    <x v="6"/>
    <n v="0"/>
    <x v="11"/>
    <x v="7"/>
  </r>
  <r>
    <x v="6"/>
    <x v="2"/>
    <x v="10"/>
    <n v="100"/>
    <x v="6"/>
    <n v="3"/>
    <n v="3"/>
    <x v="10"/>
    <x v="24"/>
    <x v="6"/>
    <n v="0"/>
    <x v="11"/>
    <x v="7"/>
  </r>
  <r>
    <x v="0"/>
    <x v="3"/>
    <x v="11"/>
    <n v="25"/>
    <x v="7"/>
    <n v="15"/>
    <n v="11"/>
    <x v="2"/>
    <x v="24"/>
    <x v="6"/>
    <n v="160"/>
    <x v="16"/>
    <x v="71"/>
  </r>
  <r>
    <x v="1"/>
    <x v="3"/>
    <x v="12"/>
    <n v="30"/>
    <x v="8"/>
    <n v="10"/>
    <n v="2"/>
    <x v="15"/>
    <x v="24"/>
    <x v="6"/>
    <n v="400"/>
    <x v="19"/>
    <x v="64"/>
  </r>
  <r>
    <x v="3"/>
    <x v="3"/>
    <x v="13"/>
    <n v="25"/>
    <x v="7"/>
    <n v="9"/>
    <n v="6"/>
    <x v="1"/>
    <x v="24"/>
    <x v="6"/>
    <n v="120"/>
    <x v="20"/>
    <x v="0"/>
  </r>
  <r>
    <x v="2"/>
    <x v="3"/>
    <x v="14"/>
    <n v="25"/>
    <x v="7"/>
    <n v="10"/>
    <n v="10"/>
    <x v="10"/>
    <x v="24"/>
    <x v="6"/>
    <n v="0"/>
    <x v="11"/>
    <x v="7"/>
  </r>
  <r>
    <x v="4"/>
    <x v="3"/>
    <x v="15"/>
    <n v="30"/>
    <x v="9"/>
    <n v="1"/>
    <n v="0"/>
    <x v="3"/>
    <x v="24"/>
    <x v="6"/>
    <n v="55"/>
    <x v="22"/>
    <x v="4"/>
  </r>
  <r>
    <x v="7"/>
    <x v="3"/>
    <x v="16"/>
    <n v="40"/>
    <x v="10"/>
    <n v="19"/>
    <n v="6"/>
    <x v="16"/>
    <x v="24"/>
    <x v="6"/>
    <n v="845"/>
    <x v="46"/>
    <x v="81"/>
  </r>
  <r>
    <x v="8"/>
    <x v="3"/>
    <x v="17"/>
    <n v="50"/>
    <x v="11"/>
    <n v="0"/>
    <n v="0"/>
    <x v="10"/>
    <x v="24"/>
    <x v="6"/>
    <n v="0"/>
    <x v="11"/>
    <x v="7"/>
  </r>
  <r>
    <x v="9"/>
    <x v="3"/>
    <x v="18"/>
    <n v="20"/>
    <x v="12"/>
    <n v="11"/>
    <n v="10"/>
    <x v="3"/>
    <x v="24"/>
    <x v="6"/>
    <n v="30"/>
    <x v="25"/>
    <x v="51"/>
  </r>
  <r>
    <x v="10"/>
    <x v="3"/>
    <x v="19"/>
    <n v="10"/>
    <x v="13"/>
    <n v="7"/>
    <n v="4"/>
    <x v="1"/>
    <x v="24"/>
    <x v="6"/>
    <n v="60"/>
    <x v="15"/>
    <x v="22"/>
  </r>
  <r>
    <x v="11"/>
    <x v="3"/>
    <x v="20"/>
    <n v="60"/>
    <x v="14"/>
    <n v="3"/>
    <n v="2"/>
    <x v="3"/>
    <x v="24"/>
    <x v="6"/>
    <n v="100"/>
    <x v="29"/>
    <x v="0"/>
  </r>
  <r>
    <x v="12"/>
    <x v="4"/>
    <x v="21"/>
    <n v="50"/>
    <x v="11"/>
    <n v="3"/>
    <n v="0"/>
    <x v="1"/>
    <x v="24"/>
    <x v="6"/>
    <n v="210"/>
    <x v="16"/>
    <x v="4"/>
  </r>
  <r>
    <x v="13"/>
    <x v="4"/>
    <x v="22"/>
    <n v="45"/>
    <x v="10"/>
    <n v="0"/>
    <n v="0"/>
    <x v="10"/>
    <x v="24"/>
    <x v="6"/>
    <n v="0"/>
    <x v="11"/>
    <x v="7"/>
  </r>
  <r>
    <x v="14"/>
    <x v="4"/>
    <x v="23"/>
    <n v="50"/>
    <x v="11"/>
    <n v="0"/>
    <n v="0"/>
    <x v="10"/>
    <x v="24"/>
    <x v="6"/>
    <n v="0"/>
    <x v="11"/>
    <x v="7"/>
  </r>
  <r>
    <x v="15"/>
    <x v="4"/>
    <x v="24"/>
    <n v="10"/>
    <x v="15"/>
    <n v="10"/>
    <n v="7"/>
    <x v="1"/>
    <x v="24"/>
    <x v="6"/>
    <n v="45"/>
    <x v="26"/>
    <x v="16"/>
  </r>
  <r>
    <x v="16"/>
    <x v="4"/>
    <x v="25"/>
    <n v="20"/>
    <x v="16"/>
    <n v="8"/>
    <n v="3"/>
    <x v="14"/>
    <x v="24"/>
    <x v="6"/>
    <n v="125"/>
    <x v="22"/>
    <x v="23"/>
  </r>
  <r>
    <x v="17"/>
    <x v="5"/>
    <x v="26"/>
    <n v="25"/>
    <x v="12"/>
    <n v="12"/>
    <n v="10"/>
    <x v="0"/>
    <x v="24"/>
    <x v="6"/>
    <n v="60"/>
    <x v="25"/>
    <x v="25"/>
  </r>
  <r>
    <x v="18"/>
    <x v="5"/>
    <x v="27"/>
    <n v="25"/>
    <x v="12"/>
    <n v="2"/>
    <n v="2"/>
    <x v="10"/>
    <x v="24"/>
    <x v="6"/>
    <n v="0"/>
    <x v="11"/>
    <x v="7"/>
  </r>
  <r>
    <x v="19"/>
    <x v="5"/>
    <x v="28"/>
    <n v="25"/>
    <x v="12"/>
    <n v="5"/>
    <n v="5"/>
    <x v="10"/>
    <x v="24"/>
    <x v="6"/>
    <n v="0"/>
    <x v="11"/>
    <x v="7"/>
  </r>
  <r>
    <x v="20"/>
    <x v="5"/>
    <x v="29"/>
    <n v="30"/>
    <x v="17"/>
    <n v="20"/>
    <n v="10"/>
    <x v="4"/>
    <x v="24"/>
    <x v="6"/>
    <n v="350"/>
    <x v="24"/>
    <x v="3"/>
  </r>
  <r>
    <x v="0"/>
    <x v="0"/>
    <x v="0"/>
    <n v="100"/>
    <x v="0"/>
    <n v="2"/>
    <n v="0"/>
    <x v="0"/>
    <x v="25"/>
    <x v="0"/>
    <n v="400"/>
    <x v="0"/>
    <x v="4"/>
  </r>
  <r>
    <x v="1"/>
    <x v="0"/>
    <x v="1"/>
    <n v="200"/>
    <x v="1"/>
    <n v="2"/>
    <n v="2"/>
    <x v="10"/>
    <x v="25"/>
    <x v="0"/>
    <n v="0"/>
    <x v="11"/>
    <x v="7"/>
  </r>
  <r>
    <x v="2"/>
    <x v="0"/>
    <x v="2"/>
    <n v="150"/>
    <x v="2"/>
    <n v="3"/>
    <n v="2"/>
    <x v="3"/>
    <x v="25"/>
    <x v="0"/>
    <n v="250"/>
    <x v="3"/>
    <x v="0"/>
  </r>
  <r>
    <x v="3"/>
    <x v="0"/>
    <x v="3"/>
    <n v="100"/>
    <x v="0"/>
    <n v="1"/>
    <n v="1"/>
    <x v="10"/>
    <x v="25"/>
    <x v="0"/>
    <n v="0"/>
    <x v="11"/>
    <x v="7"/>
  </r>
  <r>
    <x v="0"/>
    <x v="1"/>
    <x v="4"/>
    <n v="250"/>
    <x v="3"/>
    <n v="2"/>
    <n v="1"/>
    <x v="3"/>
    <x v="25"/>
    <x v="0"/>
    <n v="350"/>
    <x v="3"/>
    <x v="3"/>
  </r>
  <r>
    <x v="1"/>
    <x v="1"/>
    <x v="5"/>
    <n v="300"/>
    <x v="4"/>
    <n v="1"/>
    <n v="1"/>
    <x v="10"/>
    <x v="25"/>
    <x v="0"/>
    <n v="0"/>
    <x v="11"/>
    <x v="7"/>
  </r>
  <r>
    <x v="2"/>
    <x v="1"/>
    <x v="6"/>
    <n v="250"/>
    <x v="3"/>
    <n v="2"/>
    <n v="1"/>
    <x v="3"/>
    <x v="25"/>
    <x v="0"/>
    <n v="350"/>
    <x v="3"/>
    <x v="3"/>
  </r>
  <r>
    <x v="3"/>
    <x v="1"/>
    <x v="7"/>
    <n v="250"/>
    <x v="3"/>
    <n v="1"/>
    <n v="1"/>
    <x v="10"/>
    <x v="25"/>
    <x v="0"/>
    <n v="0"/>
    <x v="11"/>
    <x v="7"/>
  </r>
  <r>
    <x v="4"/>
    <x v="1"/>
    <x v="8"/>
    <n v="300"/>
    <x v="5"/>
    <n v="1"/>
    <n v="0"/>
    <x v="3"/>
    <x v="25"/>
    <x v="0"/>
    <n v="450"/>
    <x v="4"/>
    <x v="4"/>
  </r>
  <r>
    <x v="5"/>
    <x v="2"/>
    <x v="9"/>
    <n v="320"/>
    <x v="4"/>
    <n v="0"/>
    <n v="0"/>
    <x v="10"/>
    <x v="25"/>
    <x v="0"/>
    <n v="0"/>
    <x v="11"/>
    <x v="7"/>
  </r>
  <r>
    <x v="6"/>
    <x v="2"/>
    <x v="10"/>
    <n v="100"/>
    <x v="6"/>
    <n v="3"/>
    <n v="3"/>
    <x v="10"/>
    <x v="25"/>
    <x v="0"/>
    <n v="0"/>
    <x v="11"/>
    <x v="7"/>
  </r>
  <r>
    <x v="0"/>
    <x v="3"/>
    <x v="11"/>
    <n v="25"/>
    <x v="7"/>
    <n v="11"/>
    <n v="5"/>
    <x v="9"/>
    <x v="25"/>
    <x v="0"/>
    <n v="240"/>
    <x v="31"/>
    <x v="54"/>
  </r>
  <r>
    <x v="1"/>
    <x v="3"/>
    <x v="12"/>
    <n v="30"/>
    <x v="8"/>
    <n v="2"/>
    <n v="0"/>
    <x v="0"/>
    <x v="25"/>
    <x v="0"/>
    <n v="100"/>
    <x v="29"/>
    <x v="4"/>
  </r>
  <r>
    <x v="3"/>
    <x v="3"/>
    <x v="13"/>
    <n v="25"/>
    <x v="7"/>
    <n v="6"/>
    <n v="6"/>
    <x v="10"/>
    <x v="25"/>
    <x v="0"/>
    <n v="0"/>
    <x v="11"/>
    <x v="7"/>
  </r>
  <r>
    <x v="2"/>
    <x v="3"/>
    <x v="14"/>
    <n v="25"/>
    <x v="7"/>
    <n v="10"/>
    <n v="4"/>
    <x v="9"/>
    <x v="25"/>
    <x v="0"/>
    <n v="240"/>
    <x v="31"/>
    <x v="1"/>
  </r>
  <r>
    <x v="4"/>
    <x v="3"/>
    <x v="15"/>
    <n v="30"/>
    <x v="9"/>
    <n v="0"/>
    <n v="0"/>
    <x v="10"/>
    <x v="25"/>
    <x v="0"/>
    <n v="0"/>
    <x v="11"/>
    <x v="7"/>
  </r>
  <r>
    <x v="7"/>
    <x v="3"/>
    <x v="16"/>
    <n v="40"/>
    <x v="10"/>
    <n v="6"/>
    <n v="5"/>
    <x v="3"/>
    <x v="25"/>
    <x v="0"/>
    <n v="65"/>
    <x v="22"/>
    <x v="25"/>
  </r>
  <r>
    <x v="8"/>
    <x v="3"/>
    <x v="17"/>
    <n v="50"/>
    <x v="11"/>
    <n v="0"/>
    <n v="0"/>
    <x v="10"/>
    <x v="25"/>
    <x v="0"/>
    <n v="0"/>
    <x v="11"/>
    <x v="7"/>
  </r>
  <r>
    <x v="9"/>
    <x v="3"/>
    <x v="18"/>
    <n v="20"/>
    <x v="12"/>
    <n v="10"/>
    <n v="10"/>
    <x v="10"/>
    <x v="25"/>
    <x v="0"/>
    <n v="0"/>
    <x v="11"/>
    <x v="7"/>
  </r>
  <r>
    <x v="10"/>
    <x v="3"/>
    <x v="19"/>
    <n v="10"/>
    <x v="13"/>
    <n v="4"/>
    <n v="4"/>
    <x v="10"/>
    <x v="25"/>
    <x v="0"/>
    <n v="0"/>
    <x v="11"/>
    <x v="7"/>
  </r>
  <r>
    <x v="11"/>
    <x v="3"/>
    <x v="20"/>
    <n v="60"/>
    <x v="14"/>
    <n v="2"/>
    <n v="2"/>
    <x v="10"/>
    <x v="25"/>
    <x v="0"/>
    <n v="0"/>
    <x v="11"/>
    <x v="7"/>
  </r>
  <r>
    <x v="12"/>
    <x v="4"/>
    <x v="21"/>
    <n v="50"/>
    <x v="11"/>
    <n v="0"/>
    <n v="0"/>
    <x v="10"/>
    <x v="25"/>
    <x v="0"/>
    <n v="0"/>
    <x v="11"/>
    <x v="7"/>
  </r>
  <r>
    <x v="13"/>
    <x v="4"/>
    <x v="22"/>
    <n v="45"/>
    <x v="10"/>
    <n v="0"/>
    <n v="0"/>
    <x v="10"/>
    <x v="25"/>
    <x v="0"/>
    <n v="0"/>
    <x v="11"/>
    <x v="7"/>
  </r>
  <r>
    <x v="14"/>
    <x v="4"/>
    <x v="23"/>
    <n v="50"/>
    <x v="11"/>
    <n v="0"/>
    <n v="0"/>
    <x v="10"/>
    <x v="25"/>
    <x v="0"/>
    <n v="0"/>
    <x v="11"/>
    <x v="7"/>
  </r>
  <r>
    <x v="15"/>
    <x v="4"/>
    <x v="24"/>
    <n v="10"/>
    <x v="15"/>
    <n v="7"/>
    <n v="2"/>
    <x v="14"/>
    <x v="25"/>
    <x v="0"/>
    <n v="75"/>
    <x v="22"/>
    <x v="34"/>
  </r>
  <r>
    <x v="16"/>
    <x v="4"/>
    <x v="25"/>
    <n v="20"/>
    <x v="16"/>
    <n v="3"/>
    <n v="1"/>
    <x v="0"/>
    <x v="25"/>
    <x v="0"/>
    <n v="50"/>
    <x v="25"/>
    <x v="14"/>
  </r>
  <r>
    <x v="17"/>
    <x v="5"/>
    <x v="26"/>
    <n v="25"/>
    <x v="12"/>
    <n v="10"/>
    <n v="5"/>
    <x v="14"/>
    <x v="25"/>
    <x v="0"/>
    <n v="150"/>
    <x v="22"/>
    <x v="3"/>
  </r>
  <r>
    <x v="18"/>
    <x v="5"/>
    <x v="27"/>
    <n v="25"/>
    <x v="12"/>
    <n v="2"/>
    <n v="2"/>
    <x v="10"/>
    <x v="25"/>
    <x v="0"/>
    <n v="0"/>
    <x v="11"/>
    <x v="7"/>
  </r>
  <r>
    <x v="19"/>
    <x v="5"/>
    <x v="28"/>
    <n v="25"/>
    <x v="12"/>
    <n v="5"/>
    <n v="3"/>
    <x v="0"/>
    <x v="25"/>
    <x v="0"/>
    <n v="60"/>
    <x v="25"/>
    <x v="8"/>
  </r>
  <r>
    <x v="20"/>
    <x v="5"/>
    <x v="29"/>
    <n v="30"/>
    <x v="17"/>
    <n v="10"/>
    <n v="7"/>
    <x v="1"/>
    <x v="25"/>
    <x v="0"/>
    <n v="105"/>
    <x v="26"/>
    <x v="16"/>
  </r>
  <r>
    <x v="0"/>
    <x v="0"/>
    <x v="0"/>
    <n v="100"/>
    <x v="0"/>
    <n v="0"/>
    <n v="1"/>
    <x v="24"/>
    <x v="26"/>
    <x v="1"/>
    <n v="-200"/>
    <x v="50"/>
    <x v="7"/>
  </r>
  <r>
    <x v="1"/>
    <x v="0"/>
    <x v="1"/>
    <n v="200"/>
    <x v="1"/>
    <n v="2"/>
    <n v="2"/>
    <x v="10"/>
    <x v="26"/>
    <x v="1"/>
    <n v="0"/>
    <x v="11"/>
    <x v="7"/>
  </r>
  <r>
    <x v="2"/>
    <x v="0"/>
    <x v="2"/>
    <n v="150"/>
    <x v="2"/>
    <n v="2"/>
    <n v="2"/>
    <x v="10"/>
    <x v="26"/>
    <x v="1"/>
    <n v="0"/>
    <x v="11"/>
    <x v="7"/>
  </r>
  <r>
    <x v="3"/>
    <x v="0"/>
    <x v="3"/>
    <n v="100"/>
    <x v="0"/>
    <n v="1"/>
    <n v="0"/>
    <x v="3"/>
    <x v="26"/>
    <x v="1"/>
    <n v="200"/>
    <x v="3"/>
    <x v="4"/>
  </r>
  <r>
    <x v="0"/>
    <x v="1"/>
    <x v="4"/>
    <n v="250"/>
    <x v="3"/>
    <n v="2"/>
    <n v="2"/>
    <x v="10"/>
    <x v="26"/>
    <x v="1"/>
    <n v="0"/>
    <x v="11"/>
    <x v="7"/>
  </r>
  <r>
    <x v="1"/>
    <x v="1"/>
    <x v="5"/>
    <n v="300"/>
    <x v="4"/>
    <n v="1"/>
    <n v="1"/>
    <x v="10"/>
    <x v="26"/>
    <x v="1"/>
    <n v="0"/>
    <x v="11"/>
    <x v="7"/>
  </r>
  <r>
    <x v="2"/>
    <x v="1"/>
    <x v="6"/>
    <n v="250"/>
    <x v="3"/>
    <n v="2"/>
    <n v="2"/>
    <x v="10"/>
    <x v="26"/>
    <x v="1"/>
    <n v="0"/>
    <x v="11"/>
    <x v="7"/>
  </r>
  <r>
    <x v="3"/>
    <x v="1"/>
    <x v="7"/>
    <n v="250"/>
    <x v="3"/>
    <n v="1"/>
    <n v="0"/>
    <x v="3"/>
    <x v="26"/>
    <x v="1"/>
    <n v="350"/>
    <x v="3"/>
    <x v="4"/>
  </r>
  <r>
    <x v="4"/>
    <x v="1"/>
    <x v="8"/>
    <n v="300"/>
    <x v="5"/>
    <n v="1"/>
    <n v="1"/>
    <x v="10"/>
    <x v="26"/>
    <x v="1"/>
    <n v="0"/>
    <x v="11"/>
    <x v="7"/>
  </r>
  <r>
    <x v="5"/>
    <x v="2"/>
    <x v="9"/>
    <n v="320"/>
    <x v="4"/>
    <n v="0"/>
    <n v="0"/>
    <x v="10"/>
    <x v="26"/>
    <x v="1"/>
    <n v="0"/>
    <x v="11"/>
    <x v="7"/>
  </r>
  <r>
    <x v="6"/>
    <x v="2"/>
    <x v="10"/>
    <n v="100"/>
    <x v="6"/>
    <n v="3"/>
    <n v="3"/>
    <x v="10"/>
    <x v="26"/>
    <x v="1"/>
    <n v="0"/>
    <x v="11"/>
    <x v="7"/>
  </r>
  <r>
    <x v="0"/>
    <x v="3"/>
    <x v="11"/>
    <n v="25"/>
    <x v="7"/>
    <n v="8"/>
    <n v="8"/>
    <x v="10"/>
    <x v="26"/>
    <x v="1"/>
    <n v="0"/>
    <x v="11"/>
    <x v="7"/>
  </r>
  <r>
    <x v="1"/>
    <x v="3"/>
    <x v="12"/>
    <n v="30"/>
    <x v="8"/>
    <n v="10"/>
    <n v="6"/>
    <x v="2"/>
    <x v="26"/>
    <x v="1"/>
    <n v="200"/>
    <x v="12"/>
    <x v="8"/>
  </r>
  <r>
    <x v="3"/>
    <x v="3"/>
    <x v="13"/>
    <n v="25"/>
    <x v="7"/>
    <n v="6"/>
    <n v="5"/>
    <x v="3"/>
    <x v="26"/>
    <x v="1"/>
    <n v="40"/>
    <x v="26"/>
    <x v="25"/>
  </r>
  <r>
    <x v="2"/>
    <x v="3"/>
    <x v="14"/>
    <n v="25"/>
    <x v="7"/>
    <n v="14"/>
    <n v="11"/>
    <x v="1"/>
    <x v="26"/>
    <x v="1"/>
    <n v="120"/>
    <x v="20"/>
    <x v="68"/>
  </r>
  <r>
    <x v="4"/>
    <x v="3"/>
    <x v="15"/>
    <n v="30"/>
    <x v="9"/>
    <n v="0"/>
    <n v="0"/>
    <x v="10"/>
    <x v="26"/>
    <x v="1"/>
    <n v="0"/>
    <x v="11"/>
    <x v="7"/>
  </r>
  <r>
    <x v="7"/>
    <x v="3"/>
    <x v="16"/>
    <n v="40"/>
    <x v="10"/>
    <n v="15"/>
    <n v="10"/>
    <x v="14"/>
    <x v="26"/>
    <x v="1"/>
    <n v="325"/>
    <x v="27"/>
    <x v="0"/>
  </r>
  <r>
    <x v="8"/>
    <x v="3"/>
    <x v="17"/>
    <n v="50"/>
    <x v="11"/>
    <n v="0"/>
    <n v="0"/>
    <x v="10"/>
    <x v="26"/>
    <x v="1"/>
    <n v="0"/>
    <x v="11"/>
    <x v="7"/>
  </r>
  <r>
    <x v="9"/>
    <x v="3"/>
    <x v="18"/>
    <n v="20"/>
    <x v="12"/>
    <n v="10"/>
    <n v="8"/>
    <x v="0"/>
    <x v="26"/>
    <x v="1"/>
    <n v="60"/>
    <x v="13"/>
    <x v="20"/>
  </r>
  <r>
    <x v="10"/>
    <x v="3"/>
    <x v="19"/>
    <n v="10"/>
    <x v="13"/>
    <n v="4"/>
    <n v="4"/>
    <x v="10"/>
    <x v="26"/>
    <x v="1"/>
    <n v="0"/>
    <x v="11"/>
    <x v="7"/>
  </r>
  <r>
    <x v="11"/>
    <x v="3"/>
    <x v="20"/>
    <n v="60"/>
    <x v="14"/>
    <n v="2"/>
    <n v="1"/>
    <x v="3"/>
    <x v="26"/>
    <x v="1"/>
    <n v="100"/>
    <x v="29"/>
    <x v="3"/>
  </r>
  <r>
    <x v="12"/>
    <x v="4"/>
    <x v="21"/>
    <n v="50"/>
    <x v="11"/>
    <n v="0"/>
    <n v="0"/>
    <x v="10"/>
    <x v="26"/>
    <x v="1"/>
    <n v="0"/>
    <x v="11"/>
    <x v="7"/>
  </r>
  <r>
    <x v="13"/>
    <x v="4"/>
    <x v="22"/>
    <n v="45"/>
    <x v="10"/>
    <n v="0"/>
    <n v="0"/>
    <x v="10"/>
    <x v="26"/>
    <x v="1"/>
    <n v="0"/>
    <x v="11"/>
    <x v="7"/>
  </r>
  <r>
    <x v="14"/>
    <x v="4"/>
    <x v="23"/>
    <n v="50"/>
    <x v="11"/>
    <n v="0"/>
    <n v="0"/>
    <x v="10"/>
    <x v="26"/>
    <x v="1"/>
    <n v="0"/>
    <x v="11"/>
    <x v="7"/>
  </r>
  <r>
    <x v="15"/>
    <x v="4"/>
    <x v="24"/>
    <n v="10"/>
    <x v="15"/>
    <n v="7"/>
    <n v="5"/>
    <x v="0"/>
    <x v="26"/>
    <x v="1"/>
    <n v="30"/>
    <x v="25"/>
    <x v="9"/>
  </r>
  <r>
    <x v="16"/>
    <x v="4"/>
    <x v="25"/>
    <n v="20"/>
    <x v="16"/>
    <n v="6"/>
    <n v="2"/>
    <x v="2"/>
    <x v="26"/>
    <x v="1"/>
    <n v="100"/>
    <x v="13"/>
    <x v="14"/>
  </r>
  <r>
    <x v="17"/>
    <x v="5"/>
    <x v="26"/>
    <n v="25"/>
    <x v="12"/>
    <n v="10"/>
    <n v="6"/>
    <x v="2"/>
    <x v="26"/>
    <x v="1"/>
    <n v="120"/>
    <x v="13"/>
    <x v="8"/>
  </r>
  <r>
    <x v="18"/>
    <x v="5"/>
    <x v="27"/>
    <n v="25"/>
    <x v="12"/>
    <n v="2"/>
    <n v="1"/>
    <x v="3"/>
    <x v="26"/>
    <x v="1"/>
    <n v="30"/>
    <x v="28"/>
    <x v="3"/>
  </r>
  <r>
    <x v="19"/>
    <x v="5"/>
    <x v="28"/>
    <n v="25"/>
    <x v="12"/>
    <n v="3"/>
    <n v="1"/>
    <x v="0"/>
    <x v="26"/>
    <x v="1"/>
    <n v="60"/>
    <x v="25"/>
    <x v="14"/>
  </r>
  <r>
    <x v="20"/>
    <x v="5"/>
    <x v="29"/>
    <n v="30"/>
    <x v="17"/>
    <n v="12"/>
    <n v="3"/>
    <x v="22"/>
    <x v="26"/>
    <x v="1"/>
    <n v="315"/>
    <x v="20"/>
    <x v="2"/>
  </r>
  <r>
    <x v="0"/>
    <x v="0"/>
    <x v="0"/>
    <n v="100"/>
    <x v="0"/>
    <n v="4"/>
    <n v="2"/>
    <x v="0"/>
    <x v="27"/>
    <x v="3"/>
    <n v="400"/>
    <x v="0"/>
    <x v="3"/>
  </r>
  <r>
    <x v="1"/>
    <x v="0"/>
    <x v="1"/>
    <n v="200"/>
    <x v="1"/>
    <n v="4"/>
    <n v="2"/>
    <x v="0"/>
    <x v="27"/>
    <x v="3"/>
    <n v="600"/>
    <x v="0"/>
    <x v="3"/>
  </r>
  <r>
    <x v="2"/>
    <x v="0"/>
    <x v="2"/>
    <n v="150"/>
    <x v="2"/>
    <n v="4"/>
    <n v="1"/>
    <x v="1"/>
    <x v="27"/>
    <x v="3"/>
    <n v="750"/>
    <x v="1"/>
    <x v="2"/>
  </r>
  <r>
    <x v="3"/>
    <x v="0"/>
    <x v="3"/>
    <n v="100"/>
    <x v="0"/>
    <n v="2"/>
    <n v="1"/>
    <x v="3"/>
    <x v="27"/>
    <x v="3"/>
    <n v="200"/>
    <x v="3"/>
    <x v="3"/>
  </r>
  <r>
    <x v="0"/>
    <x v="1"/>
    <x v="4"/>
    <n v="250"/>
    <x v="3"/>
    <n v="2"/>
    <n v="2"/>
    <x v="10"/>
    <x v="27"/>
    <x v="3"/>
    <n v="0"/>
    <x v="11"/>
    <x v="7"/>
  </r>
  <r>
    <x v="1"/>
    <x v="1"/>
    <x v="5"/>
    <n v="300"/>
    <x v="4"/>
    <n v="1"/>
    <n v="1"/>
    <x v="10"/>
    <x v="27"/>
    <x v="3"/>
    <n v="0"/>
    <x v="11"/>
    <x v="7"/>
  </r>
  <r>
    <x v="2"/>
    <x v="1"/>
    <x v="6"/>
    <n v="250"/>
    <x v="3"/>
    <n v="2"/>
    <n v="1"/>
    <x v="3"/>
    <x v="27"/>
    <x v="3"/>
    <n v="350"/>
    <x v="3"/>
    <x v="3"/>
  </r>
  <r>
    <x v="3"/>
    <x v="1"/>
    <x v="7"/>
    <n v="250"/>
    <x v="3"/>
    <n v="0"/>
    <n v="0"/>
    <x v="10"/>
    <x v="27"/>
    <x v="3"/>
    <n v="0"/>
    <x v="11"/>
    <x v="7"/>
  </r>
  <r>
    <x v="4"/>
    <x v="1"/>
    <x v="8"/>
    <n v="300"/>
    <x v="5"/>
    <n v="1"/>
    <n v="0"/>
    <x v="3"/>
    <x v="27"/>
    <x v="3"/>
    <n v="450"/>
    <x v="4"/>
    <x v="4"/>
  </r>
  <r>
    <x v="5"/>
    <x v="2"/>
    <x v="9"/>
    <n v="320"/>
    <x v="4"/>
    <n v="0"/>
    <n v="0"/>
    <x v="10"/>
    <x v="27"/>
    <x v="3"/>
    <n v="0"/>
    <x v="11"/>
    <x v="7"/>
  </r>
  <r>
    <x v="6"/>
    <x v="2"/>
    <x v="10"/>
    <n v="100"/>
    <x v="6"/>
    <n v="3"/>
    <n v="3"/>
    <x v="10"/>
    <x v="27"/>
    <x v="3"/>
    <n v="0"/>
    <x v="11"/>
    <x v="7"/>
  </r>
  <r>
    <x v="0"/>
    <x v="3"/>
    <x v="11"/>
    <n v="25"/>
    <x v="7"/>
    <n v="8"/>
    <n v="4"/>
    <x v="2"/>
    <x v="27"/>
    <x v="3"/>
    <n v="160"/>
    <x v="16"/>
    <x v="3"/>
  </r>
  <r>
    <x v="1"/>
    <x v="3"/>
    <x v="12"/>
    <n v="30"/>
    <x v="8"/>
    <n v="6"/>
    <n v="4"/>
    <x v="0"/>
    <x v="27"/>
    <x v="3"/>
    <n v="100"/>
    <x v="29"/>
    <x v="0"/>
  </r>
  <r>
    <x v="3"/>
    <x v="3"/>
    <x v="13"/>
    <n v="25"/>
    <x v="7"/>
    <n v="5"/>
    <n v="5"/>
    <x v="10"/>
    <x v="27"/>
    <x v="3"/>
    <n v="0"/>
    <x v="11"/>
    <x v="7"/>
  </r>
  <r>
    <x v="2"/>
    <x v="3"/>
    <x v="14"/>
    <n v="25"/>
    <x v="7"/>
    <n v="11"/>
    <n v="11"/>
    <x v="10"/>
    <x v="27"/>
    <x v="3"/>
    <n v="0"/>
    <x v="11"/>
    <x v="7"/>
  </r>
  <r>
    <x v="4"/>
    <x v="3"/>
    <x v="15"/>
    <n v="30"/>
    <x v="9"/>
    <n v="0"/>
    <n v="0"/>
    <x v="10"/>
    <x v="27"/>
    <x v="3"/>
    <n v="0"/>
    <x v="11"/>
    <x v="7"/>
  </r>
  <r>
    <x v="7"/>
    <x v="3"/>
    <x v="16"/>
    <n v="40"/>
    <x v="10"/>
    <n v="10"/>
    <n v="10"/>
    <x v="10"/>
    <x v="27"/>
    <x v="3"/>
    <n v="0"/>
    <x v="11"/>
    <x v="7"/>
  </r>
  <r>
    <x v="8"/>
    <x v="3"/>
    <x v="17"/>
    <n v="50"/>
    <x v="11"/>
    <n v="0"/>
    <n v="0"/>
    <x v="10"/>
    <x v="27"/>
    <x v="3"/>
    <n v="0"/>
    <x v="11"/>
    <x v="7"/>
  </r>
  <r>
    <x v="9"/>
    <x v="3"/>
    <x v="18"/>
    <n v="20"/>
    <x v="12"/>
    <n v="8"/>
    <n v="6"/>
    <x v="0"/>
    <x v="27"/>
    <x v="3"/>
    <n v="60"/>
    <x v="13"/>
    <x v="11"/>
  </r>
  <r>
    <x v="10"/>
    <x v="3"/>
    <x v="19"/>
    <n v="10"/>
    <x v="13"/>
    <n v="4"/>
    <n v="3"/>
    <x v="3"/>
    <x v="27"/>
    <x v="3"/>
    <n v="20"/>
    <x v="25"/>
    <x v="11"/>
  </r>
  <r>
    <x v="11"/>
    <x v="3"/>
    <x v="20"/>
    <n v="60"/>
    <x v="14"/>
    <n v="1"/>
    <n v="1"/>
    <x v="10"/>
    <x v="27"/>
    <x v="3"/>
    <n v="0"/>
    <x v="11"/>
    <x v="7"/>
  </r>
  <r>
    <x v="12"/>
    <x v="4"/>
    <x v="21"/>
    <n v="50"/>
    <x v="11"/>
    <n v="4"/>
    <n v="2"/>
    <x v="0"/>
    <x v="27"/>
    <x v="3"/>
    <n v="140"/>
    <x v="29"/>
    <x v="3"/>
  </r>
  <r>
    <x v="13"/>
    <x v="4"/>
    <x v="22"/>
    <n v="45"/>
    <x v="10"/>
    <n v="0"/>
    <n v="0"/>
    <x v="10"/>
    <x v="27"/>
    <x v="3"/>
    <n v="0"/>
    <x v="11"/>
    <x v="7"/>
  </r>
  <r>
    <x v="14"/>
    <x v="4"/>
    <x v="23"/>
    <n v="50"/>
    <x v="11"/>
    <n v="0"/>
    <n v="0"/>
    <x v="10"/>
    <x v="27"/>
    <x v="3"/>
    <n v="0"/>
    <x v="11"/>
    <x v="7"/>
  </r>
  <r>
    <x v="15"/>
    <x v="4"/>
    <x v="24"/>
    <n v="10"/>
    <x v="15"/>
    <n v="10"/>
    <n v="1"/>
    <x v="22"/>
    <x v="27"/>
    <x v="3"/>
    <n v="135"/>
    <x v="20"/>
    <x v="78"/>
  </r>
  <r>
    <x v="16"/>
    <x v="4"/>
    <x v="25"/>
    <n v="20"/>
    <x v="16"/>
    <n v="7"/>
    <n v="0"/>
    <x v="13"/>
    <x v="27"/>
    <x v="3"/>
    <n v="175"/>
    <x v="17"/>
    <x v="4"/>
  </r>
  <r>
    <x v="17"/>
    <x v="5"/>
    <x v="26"/>
    <n v="25"/>
    <x v="12"/>
    <n v="16"/>
    <n v="10"/>
    <x v="9"/>
    <x v="27"/>
    <x v="3"/>
    <n v="180"/>
    <x v="15"/>
    <x v="61"/>
  </r>
  <r>
    <x v="18"/>
    <x v="5"/>
    <x v="27"/>
    <n v="25"/>
    <x v="12"/>
    <n v="6"/>
    <n v="4"/>
    <x v="0"/>
    <x v="27"/>
    <x v="3"/>
    <n v="60"/>
    <x v="25"/>
    <x v="0"/>
  </r>
  <r>
    <x v="19"/>
    <x v="5"/>
    <x v="28"/>
    <n v="25"/>
    <x v="12"/>
    <n v="6"/>
    <n v="0"/>
    <x v="9"/>
    <x v="27"/>
    <x v="3"/>
    <n v="180"/>
    <x v="15"/>
    <x v="4"/>
  </r>
  <r>
    <x v="20"/>
    <x v="5"/>
    <x v="29"/>
    <n v="30"/>
    <x v="17"/>
    <n v="13"/>
    <n v="6"/>
    <x v="13"/>
    <x v="27"/>
    <x v="3"/>
    <n v="245"/>
    <x v="17"/>
    <x v="7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1">
  <r>
    <x v="0"/>
    <s v="Fresh Cream"/>
    <s v="F01"/>
    <n v="100"/>
    <n v="200"/>
    <n v="6"/>
    <n v="4"/>
    <n v="2"/>
    <x v="0"/>
    <x v="0"/>
    <x v="0"/>
    <n v="200"/>
    <n v="0"/>
  </r>
  <r>
    <x v="1"/>
    <s v="Fresh Cream"/>
    <s v="F02"/>
    <n v="200"/>
    <n v="300"/>
    <n v="5"/>
    <n v="2"/>
    <n v="3"/>
    <x v="0"/>
    <x v="0"/>
    <x v="1"/>
    <n v="300"/>
    <n v="0.6"/>
  </r>
  <r>
    <x v="2"/>
    <s v="Fresh Cream"/>
    <s v="F03"/>
    <n v="150"/>
    <n v="250"/>
    <n v="4"/>
    <n v="1"/>
    <n v="3"/>
    <x v="0"/>
    <x v="0"/>
    <x v="2"/>
    <n v="300"/>
    <n v="0.75"/>
  </r>
  <r>
    <x v="3"/>
    <s v="Fresh Cream"/>
    <s v="F04"/>
    <n v="100"/>
    <n v="200"/>
    <n v="5"/>
    <n v="2"/>
    <n v="3"/>
    <x v="0"/>
    <x v="0"/>
    <x v="3"/>
    <n v="300"/>
    <n v="0.6"/>
  </r>
  <r>
    <x v="0"/>
    <s v="Rich Cream"/>
    <s v="R01"/>
    <n v="250"/>
    <n v="350"/>
    <n v="4"/>
    <n v="2"/>
    <n v="2"/>
    <x v="0"/>
    <x v="0"/>
    <x v="4"/>
    <n v="200"/>
    <n v="0.5"/>
  </r>
  <r>
    <x v="1"/>
    <s v="Rich Cream"/>
    <s v="R02"/>
    <n v="300"/>
    <n v="400"/>
    <n v="4"/>
    <n v="0"/>
    <n v="4"/>
    <x v="0"/>
    <x v="0"/>
    <x v="5"/>
    <n v="400"/>
    <n v="1"/>
  </r>
  <r>
    <x v="2"/>
    <s v="Rich Cream"/>
    <s v="R03"/>
    <n v="250"/>
    <n v="350"/>
    <n v="4"/>
    <n v="0"/>
    <n v="4"/>
    <x v="0"/>
    <x v="0"/>
    <x v="6"/>
    <n v="400"/>
    <n v="1"/>
  </r>
  <r>
    <x v="3"/>
    <s v="Rich Cream"/>
    <s v="R04"/>
    <n v="250"/>
    <n v="350"/>
    <n v="3"/>
    <n v="2"/>
    <n v="1"/>
    <x v="0"/>
    <x v="0"/>
    <x v="7"/>
    <n v="100"/>
    <n v="0.33333333333333331"/>
  </r>
  <r>
    <x v="4"/>
    <s v="Rich Cream"/>
    <s v="R05"/>
    <n v="300"/>
    <n v="450"/>
    <n v="2"/>
    <n v="1"/>
    <n v="1"/>
    <x v="0"/>
    <x v="0"/>
    <x v="8"/>
    <n v="150"/>
    <n v="0.5"/>
  </r>
  <r>
    <x v="5"/>
    <s v="Dry Cake"/>
    <s v="D01"/>
    <n v="320"/>
    <n v="400"/>
    <n v="6"/>
    <n v="3"/>
    <n v="3"/>
    <x v="0"/>
    <x v="0"/>
    <x v="9"/>
    <n v="240"/>
    <n v="0.5"/>
  </r>
  <r>
    <x v="6"/>
    <s v="Dry Cake"/>
    <s v="D02"/>
    <n v="100"/>
    <n v="150"/>
    <n v="10"/>
    <n v="0"/>
    <n v="10"/>
    <x v="0"/>
    <x v="0"/>
    <x v="10"/>
    <n v="500"/>
    <n v="1"/>
  </r>
  <r>
    <x v="0"/>
    <s v="Pastry"/>
    <s v="P01"/>
    <n v="25"/>
    <n v="40"/>
    <n v="32"/>
    <n v="0"/>
    <n v="32"/>
    <x v="0"/>
    <x v="0"/>
    <x v="11"/>
    <n v="480"/>
    <n v="1"/>
  </r>
  <r>
    <x v="1"/>
    <s v="Pastry"/>
    <s v="P02"/>
    <n v="30"/>
    <n v="50"/>
    <n v="24"/>
    <n v="14"/>
    <n v="10"/>
    <x v="0"/>
    <x v="0"/>
    <x v="12"/>
    <n v="200"/>
    <n v="0.41666666666666669"/>
  </r>
  <r>
    <x v="3"/>
    <s v="Pastry"/>
    <s v="P03"/>
    <n v="25"/>
    <n v="40"/>
    <n v="12"/>
    <n v="0"/>
    <n v="12"/>
    <x v="0"/>
    <x v="0"/>
    <x v="13"/>
    <n v="180"/>
    <n v="1"/>
  </r>
  <r>
    <x v="2"/>
    <s v="Pastry"/>
    <s v="P04"/>
    <n v="25"/>
    <n v="40"/>
    <n v="22"/>
    <n v="0"/>
    <n v="22"/>
    <x v="0"/>
    <x v="0"/>
    <x v="14"/>
    <n v="330"/>
    <n v="1"/>
  </r>
  <r>
    <x v="4"/>
    <s v="Pastry"/>
    <s v="P05"/>
    <n v="30"/>
    <n v="55"/>
    <n v="20"/>
    <n v="1"/>
    <n v="19"/>
    <x v="0"/>
    <x v="0"/>
    <x v="15"/>
    <n v="475"/>
    <n v="0.95"/>
  </r>
  <r>
    <x v="7"/>
    <s v="Pastry"/>
    <s v="P06"/>
    <n v="40"/>
    <n v="65"/>
    <n v="8"/>
    <n v="2"/>
    <n v="6"/>
    <x v="0"/>
    <x v="0"/>
    <x v="16"/>
    <n v="150"/>
    <n v="0.75"/>
  </r>
  <r>
    <x v="8"/>
    <s v="Pastry"/>
    <s v="P07"/>
    <n v="50"/>
    <n v="70"/>
    <n v="0"/>
    <n v="0"/>
    <n v="0"/>
    <x v="0"/>
    <x v="0"/>
    <x v="17"/>
    <n v="0"/>
    <n v="0"/>
  </r>
  <r>
    <x v="9"/>
    <s v="Pastry"/>
    <s v="P08"/>
    <n v="20"/>
    <n v="30"/>
    <n v="45"/>
    <n v="27"/>
    <n v="18"/>
    <x v="0"/>
    <x v="0"/>
    <x v="18"/>
    <n v="180"/>
    <n v="0.4"/>
  </r>
  <r>
    <x v="10"/>
    <s v="Pastry"/>
    <s v="P09"/>
    <n v="10"/>
    <n v="20"/>
    <n v="0"/>
    <n v="0"/>
    <n v="0"/>
    <x v="0"/>
    <x v="0"/>
    <x v="17"/>
    <n v="0"/>
    <n v="0"/>
  </r>
  <r>
    <x v="11"/>
    <s v="Pastry"/>
    <s v="P10"/>
    <n v="60"/>
    <n v="100"/>
    <n v="7"/>
    <n v="5"/>
    <n v="2"/>
    <x v="0"/>
    <x v="0"/>
    <x v="19"/>
    <n v="80"/>
    <n v="0.2857142857142857"/>
  </r>
  <r>
    <x v="12"/>
    <s v="Snack"/>
    <s v="S01"/>
    <n v="50"/>
    <n v="70"/>
    <n v="7"/>
    <n v="6"/>
    <n v="1"/>
    <x v="0"/>
    <x v="0"/>
    <x v="20"/>
    <n v="20"/>
    <n v="0.14285714285714285"/>
  </r>
  <r>
    <x v="13"/>
    <s v="Snack"/>
    <s v="S02"/>
    <n v="45"/>
    <n v="65"/>
    <n v="3"/>
    <n v="3"/>
    <n v="0"/>
    <x v="0"/>
    <x v="0"/>
    <x v="17"/>
    <n v="0"/>
    <n v="0"/>
  </r>
  <r>
    <x v="14"/>
    <s v="Snack"/>
    <s v="S03"/>
    <n v="50"/>
    <n v="70"/>
    <n v="4"/>
    <n v="3"/>
    <n v="1"/>
    <x v="0"/>
    <x v="0"/>
    <x v="20"/>
    <n v="20"/>
    <n v="0.25"/>
  </r>
  <r>
    <x v="15"/>
    <s v="Snack"/>
    <s v="S04"/>
    <n v="10"/>
    <n v="15"/>
    <n v="15"/>
    <n v="0"/>
    <n v="15"/>
    <x v="0"/>
    <x v="0"/>
    <x v="21"/>
    <n v="75"/>
    <n v="1"/>
  </r>
  <r>
    <x v="16"/>
    <s v="Snack"/>
    <s v="S05"/>
    <n v="20"/>
    <n v="25"/>
    <n v="10"/>
    <n v="4"/>
    <n v="6"/>
    <x v="0"/>
    <x v="0"/>
    <x v="22"/>
    <n v="30"/>
    <n v="0.6"/>
  </r>
  <r>
    <x v="17"/>
    <s v="Bread Item"/>
    <s v="B01"/>
    <n v="25"/>
    <n v="30"/>
    <n v="19"/>
    <n v="7"/>
    <n v="12"/>
    <x v="0"/>
    <x v="0"/>
    <x v="23"/>
    <n v="60"/>
    <n v="0.63157894736842102"/>
  </r>
  <r>
    <x v="18"/>
    <s v="Bread Item"/>
    <s v="B02"/>
    <n v="25"/>
    <n v="30"/>
    <n v="10"/>
    <n v="10"/>
    <n v="0"/>
    <x v="0"/>
    <x v="0"/>
    <x v="17"/>
    <n v="0"/>
    <n v="0"/>
  </r>
  <r>
    <x v="19"/>
    <s v="Bread Item"/>
    <s v="B03"/>
    <n v="25"/>
    <n v="30"/>
    <n v="12"/>
    <n v="5"/>
    <n v="7"/>
    <x v="0"/>
    <x v="0"/>
    <x v="24"/>
    <n v="35"/>
    <n v="0.58333333333333337"/>
  </r>
  <r>
    <x v="20"/>
    <s v="Bread Item"/>
    <s v="B04"/>
    <n v="30"/>
    <n v="35"/>
    <n v="8"/>
    <n v="4"/>
    <n v="4"/>
    <x v="0"/>
    <x v="0"/>
    <x v="25"/>
    <n v="20"/>
    <n v="0.5"/>
  </r>
  <r>
    <x v="0"/>
    <s v="Fresh Cream"/>
    <s v="F01"/>
    <n v="100"/>
    <n v="200"/>
    <n v="4"/>
    <n v="3"/>
    <n v="1"/>
    <x v="1"/>
    <x v="1"/>
    <x v="19"/>
    <n v="100"/>
    <n v="0.25"/>
  </r>
  <r>
    <x v="1"/>
    <s v="Fresh Cream"/>
    <s v="F02"/>
    <n v="200"/>
    <n v="300"/>
    <n v="2"/>
    <n v="0"/>
    <n v="2"/>
    <x v="1"/>
    <x v="1"/>
    <x v="3"/>
    <n v="200"/>
    <n v="1"/>
  </r>
  <r>
    <x v="2"/>
    <s v="Fresh Cream"/>
    <s v="F03"/>
    <n v="150"/>
    <n v="250"/>
    <n v="1"/>
    <n v="0"/>
    <n v="1"/>
    <x v="1"/>
    <x v="1"/>
    <x v="26"/>
    <n v="100"/>
    <n v="1"/>
  </r>
  <r>
    <x v="3"/>
    <s v="Fresh Cream"/>
    <s v="F04"/>
    <n v="100"/>
    <n v="200"/>
    <n v="2"/>
    <n v="1"/>
    <n v="1"/>
    <x v="1"/>
    <x v="1"/>
    <x v="19"/>
    <n v="100"/>
    <n v="0.5"/>
  </r>
  <r>
    <x v="0"/>
    <s v="Rich Cream"/>
    <s v="R01"/>
    <n v="250"/>
    <n v="350"/>
    <n v="3"/>
    <n v="1"/>
    <n v="2"/>
    <x v="1"/>
    <x v="1"/>
    <x v="4"/>
    <n v="200"/>
    <n v="0.66666666666666663"/>
  </r>
  <r>
    <x v="1"/>
    <s v="Rich Cream"/>
    <s v="R02"/>
    <n v="300"/>
    <n v="400"/>
    <n v="1"/>
    <n v="0"/>
    <n v="1"/>
    <x v="1"/>
    <x v="1"/>
    <x v="0"/>
    <n v="100"/>
    <n v="1"/>
  </r>
  <r>
    <x v="2"/>
    <s v="Rich Cream"/>
    <s v="R03"/>
    <n v="250"/>
    <n v="350"/>
    <n v="3"/>
    <n v="1"/>
    <n v="2"/>
    <x v="1"/>
    <x v="1"/>
    <x v="4"/>
    <n v="200"/>
    <n v="0.66666666666666663"/>
  </r>
  <r>
    <x v="3"/>
    <s v="Rich Cream"/>
    <s v="R04"/>
    <n v="250"/>
    <n v="350"/>
    <n v="2"/>
    <n v="1"/>
    <n v="1"/>
    <x v="1"/>
    <x v="1"/>
    <x v="7"/>
    <n v="100"/>
    <n v="0.5"/>
  </r>
  <r>
    <x v="4"/>
    <s v="Rich Cream"/>
    <s v="R05"/>
    <n v="300"/>
    <n v="450"/>
    <n v="3"/>
    <n v="0"/>
    <n v="3"/>
    <x v="1"/>
    <x v="1"/>
    <x v="27"/>
    <n v="450"/>
    <n v="1"/>
  </r>
  <r>
    <x v="5"/>
    <s v="Dry Cake"/>
    <s v="D01"/>
    <n v="320"/>
    <n v="400"/>
    <n v="3"/>
    <n v="2"/>
    <n v="1"/>
    <x v="1"/>
    <x v="1"/>
    <x v="0"/>
    <n v="80"/>
    <n v="0.33333333333333331"/>
  </r>
  <r>
    <x v="6"/>
    <s v="Dry Cake"/>
    <s v="D02"/>
    <n v="100"/>
    <n v="150"/>
    <n v="0"/>
    <n v="0"/>
    <n v="0"/>
    <x v="1"/>
    <x v="1"/>
    <x v="17"/>
    <n v="0"/>
    <n v="0"/>
  </r>
  <r>
    <x v="0"/>
    <s v="Pastry"/>
    <s v="P01"/>
    <n v="25"/>
    <n v="40"/>
    <n v="10"/>
    <n v="5"/>
    <n v="5"/>
    <x v="1"/>
    <x v="1"/>
    <x v="19"/>
    <n v="75"/>
    <n v="0.5"/>
  </r>
  <r>
    <x v="1"/>
    <s v="Pastry"/>
    <s v="P02"/>
    <n v="30"/>
    <n v="50"/>
    <n v="14"/>
    <n v="6"/>
    <n v="8"/>
    <x v="1"/>
    <x v="1"/>
    <x v="0"/>
    <n v="160"/>
    <n v="0.5714285714285714"/>
  </r>
  <r>
    <x v="3"/>
    <s v="Pastry"/>
    <s v="P03"/>
    <n v="25"/>
    <n v="40"/>
    <n v="10"/>
    <n v="7"/>
    <n v="3"/>
    <x v="1"/>
    <x v="1"/>
    <x v="28"/>
    <n v="45"/>
    <n v="0.3"/>
  </r>
  <r>
    <x v="2"/>
    <s v="Pastry"/>
    <s v="P04"/>
    <n v="25"/>
    <n v="40"/>
    <n v="12"/>
    <n v="5"/>
    <n v="7"/>
    <x v="1"/>
    <x v="1"/>
    <x v="29"/>
    <n v="105"/>
    <n v="0.58333333333333337"/>
  </r>
  <r>
    <x v="4"/>
    <s v="Pastry"/>
    <s v="P05"/>
    <n v="30"/>
    <n v="55"/>
    <n v="9"/>
    <n v="8"/>
    <n v="1"/>
    <x v="1"/>
    <x v="1"/>
    <x v="30"/>
    <n v="25"/>
    <n v="0.1111111111111111"/>
  </r>
  <r>
    <x v="7"/>
    <s v="Pastry"/>
    <s v="P06"/>
    <n v="40"/>
    <n v="65"/>
    <n v="12"/>
    <n v="2"/>
    <n v="10"/>
    <x v="1"/>
    <x v="1"/>
    <x v="31"/>
    <n v="250"/>
    <n v="0.83333333333333337"/>
  </r>
  <r>
    <x v="8"/>
    <s v="Pastry"/>
    <s v="P07"/>
    <n v="50"/>
    <n v="70"/>
    <n v="0"/>
    <n v="0"/>
    <n v="0"/>
    <x v="1"/>
    <x v="1"/>
    <x v="17"/>
    <n v="0"/>
    <n v="0"/>
  </r>
  <r>
    <x v="9"/>
    <s v="Pastry"/>
    <s v="P08"/>
    <n v="20"/>
    <n v="30"/>
    <n v="27"/>
    <n v="22"/>
    <n v="5"/>
    <x v="1"/>
    <x v="1"/>
    <x v="22"/>
    <n v="50"/>
    <n v="0.18518518518518517"/>
  </r>
  <r>
    <x v="10"/>
    <s v="Pastry"/>
    <s v="P09"/>
    <n v="10"/>
    <n v="20"/>
    <n v="0"/>
    <n v="0"/>
    <n v="0"/>
    <x v="1"/>
    <x v="1"/>
    <x v="17"/>
    <n v="0"/>
    <n v="0"/>
  </r>
  <r>
    <x v="11"/>
    <s v="Pastry"/>
    <s v="P10"/>
    <n v="60"/>
    <n v="100"/>
    <n v="5"/>
    <n v="5"/>
    <n v="0"/>
    <x v="1"/>
    <x v="1"/>
    <x v="17"/>
    <n v="0"/>
    <n v="0"/>
  </r>
  <r>
    <x v="12"/>
    <s v="Snack"/>
    <s v="S01"/>
    <n v="50"/>
    <n v="70"/>
    <n v="6"/>
    <n v="6"/>
    <n v="0"/>
    <x v="1"/>
    <x v="1"/>
    <x v="17"/>
    <n v="0"/>
    <n v="0"/>
  </r>
  <r>
    <x v="13"/>
    <s v="Snack"/>
    <s v="S02"/>
    <n v="45"/>
    <n v="65"/>
    <n v="4"/>
    <n v="4"/>
    <n v="0"/>
    <x v="1"/>
    <x v="1"/>
    <x v="17"/>
    <n v="0"/>
    <n v="0"/>
  </r>
  <r>
    <x v="14"/>
    <s v="Snack"/>
    <s v="S03"/>
    <n v="50"/>
    <n v="70"/>
    <n v="3"/>
    <n v="3"/>
    <n v="0"/>
    <x v="1"/>
    <x v="1"/>
    <x v="17"/>
    <n v="0"/>
    <n v="0"/>
  </r>
  <r>
    <x v="15"/>
    <s v="Snack"/>
    <s v="S04"/>
    <n v="10"/>
    <n v="15"/>
    <n v="10"/>
    <n v="8"/>
    <n v="2"/>
    <x v="1"/>
    <x v="1"/>
    <x v="32"/>
    <n v="10"/>
    <n v="0.2"/>
  </r>
  <r>
    <x v="16"/>
    <s v="Snack"/>
    <s v="S05"/>
    <n v="20"/>
    <n v="25"/>
    <n v="11"/>
    <n v="7"/>
    <n v="4"/>
    <x v="1"/>
    <x v="1"/>
    <x v="33"/>
    <n v="20"/>
    <n v="0.36363636363636365"/>
  </r>
  <r>
    <x v="17"/>
    <s v="Bread Item"/>
    <s v="B01"/>
    <n v="25"/>
    <n v="30"/>
    <n v="7"/>
    <n v="0"/>
    <n v="7"/>
    <x v="1"/>
    <x v="1"/>
    <x v="24"/>
    <n v="35"/>
    <n v="1"/>
  </r>
  <r>
    <x v="18"/>
    <s v="Bread Item"/>
    <s v="B02"/>
    <n v="25"/>
    <n v="30"/>
    <n v="10"/>
    <n v="4"/>
    <n v="6"/>
    <x v="1"/>
    <x v="1"/>
    <x v="34"/>
    <n v="30"/>
    <n v="0.6"/>
  </r>
  <r>
    <x v="19"/>
    <s v="Bread Item"/>
    <s v="B03"/>
    <n v="25"/>
    <n v="30"/>
    <n v="5"/>
    <n v="0"/>
    <n v="5"/>
    <x v="1"/>
    <x v="1"/>
    <x v="22"/>
    <n v="25"/>
    <n v="1"/>
  </r>
  <r>
    <x v="20"/>
    <s v="Bread Item"/>
    <s v="B04"/>
    <n v="30"/>
    <n v="35"/>
    <n v="4"/>
    <n v="0"/>
    <n v="4"/>
    <x v="1"/>
    <x v="1"/>
    <x v="25"/>
    <n v="20"/>
    <n v="1"/>
  </r>
  <r>
    <x v="0"/>
    <s v="Fresh Cream"/>
    <s v="F01"/>
    <n v="100"/>
    <n v="200"/>
    <n v="3"/>
    <n v="2"/>
    <n v="1"/>
    <x v="2"/>
    <x v="2"/>
    <x v="19"/>
    <n v="100"/>
    <n v="0.33333333333333331"/>
  </r>
  <r>
    <x v="1"/>
    <s v="Fresh Cream"/>
    <s v="F02"/>
    <n v="200"/>
    <n v="300"/>
    <n v="0"/>
    <n v="0"/>
    <n v="0"/>
    <x v="2"/>
    <x v="2"/>
    <x v="17"/>
    <n v="0"/>
    <n v="0"/>
  </r>
  <r>
    <x v="2"/>
    <s v="Fresh Cream"/>
    <s v="F03"/>
    <n v="150"/>
    <n v="250"/>
    <n v="0"/>
    <n v="0"/>
    <n v="0"/>
    <x v="2"/>
    <x v="2"/>
    <x v="17"/>
    <n v="0"/>
    <n v="0"/>
  </r>
  <r>
    <x v="3"/>
    <s v="Fresh Cream"/>
    <s v="F04"/>
    <n v="100"/>
    <n v="200"/>
    <n v="1"/>
    <n v="1"/>
    <n v="0"/>
    <x v="2"/>
    <x v="2"/>
    <x v="17"/>
    <n v="0"/>
    <n v="0"/>
  </r>
  <r>
    <x v="0"/>
    <s v="Rich Cream"/>
    <s v="R01"/>
    <n v="250"/>
    <n v="350"/>
    <n v="1"/>
    <n v="1"/>
    <n v="0"/>
    <x v="2"/>
    <x v="2"/>
    <x v="17"/>
    <n v="0"/>
    <n v="0"/>
  </r>
  <r>
    <x v="1"/>
    <s v="Rich Cream"/>
    <s v="R02"/>
    <n v="300"/>
    <n v="400"/>
    <n v="1"/>
    <n v="1"/>
    <n v="0"/>
    <x v="2"/>
    <x v="2"/>
    <x v="17"/>
    <n v="0"/>
    <n v="0"/>
  </r>
  <r>
    <x v="2"/>
    <s v="Rich Cream"/>
    <s v="R03"/>
    <n v="250"/>
    <n v="350"/>
    <n v="2"/>
    <n v="2"/>
    <n v="0"/>
    <x v="2"/>
    <x v="2"/>
    <x v="17"/>
    <n v="0"/>
    <n v="0"/>
  </r>
  <r>
    <x v="3"/>
    <s v="Rich Cream"/>
    <s v="R04"/>
    <n v="250"/>
    <n v="350"/>
    <n v="2"/>
    <n v="1"/>
    <n v="1"/>
    <x v="2"/>
    <x v="2"/>
    <x v="7"/>
    <n v="100"/>
    <n v="0.5"/>
  </r>
  <r>
    <x v="4"/>
    <s v="Rich Cream"/>
    <s v="R05"/>
    <n v="300"/>
    <n v="450"/>
    <n v="0"/>
    <n v="0"/>
    <n v="0"/>
    <x v="2"/>
    <x v="2"/>
    <x v="17"/>
    <n v="0"/>
    <n v="0"/>
  </r>
  <r>
    <x v="5"/>
    <s v="Dry Cake"/>
    <s v="D01"/>
    <n v="320"/>
    <n v="400"/>
    <n v="2"/>
    <n v="2"/>
    <n v="0"/>
    <x v="2"/>
    <x v="2"/>
    <x v="17"/>
    <n v="0"/>
    <n v="0"/>
  </r>
  <r>
    <x v="6"/>
    <s v="Dry Cake"/>
    <s v="D02"/>
    <n v="100"/>
    <n v="150"/>
    <n v="0"/>
    <n v="0"/>
    <n v="0"/>
    <x v="2"/>
    <x v="2"/>
    <x v="17"/>
    <n v="0"/>
    <n v="0"/>
  </r>
  <r>
    <x v="0"/>
    <s v="Pastry"/>
    <s v="P01"/>
    <n v="25"/>
    <n v="40"/>
    <n v="5"/>
    <n v="4"/>
    <n v="1"/>
    <x v="2"/>
    <x v="2"/>
    <x v="35"/>
    <n v="15"/>
    <n v="0.2"/>
  </r>
  <r>
    <x v="1"/>
    <s v="Pastry"/>
    <s v="P02"/>
    <n v="30"/>
    <n v="50"/>
    <n v="6"/>
    <n v="2"/>
    <n v="4"/>
    <x v="2"/>
    <x v="2"/>
    <x v="19"/>
    <n v="80"/>
    <n v="0.66666666666666663"/>
  </r>
  <r>
    <x v="3"/>
    <s v="Pastry"/>
    <s v="P03"/>
    <n v="25"/>
    <n v="40"/>
    <n v="7"/>
    <n v="4"/>
    <n v="3"/>
    <x v="2"/>
    <x v="2"/>
    <x v="28"/>
    <n v="45"/>
    <n v="0.42857142857142855"/>
  </r>
  <r>
    <x v="2"/>
    <s v="Pastry"/>
    <s v="P04"/>
    <n v="25"/>
    <n v="40"/>
    <n v="5"/>
    <n v="2"/>
    <n v="3"/>
    <x v="2"/>
    <x v="2"/>
    <x v="28"/>
    <n v="45"/>
    <n v="0.6"/>
  </r>
  <r>
    <x v="4"/>
    <s v="Pastry"/>
    <s v="P05"/>
    <n v="30"/>
    <n v="55"/>
    <n v="8"/>
    <n v="3"/>
    <n v="5"/>
    <x v="2"/>
    <x v="2"/>
    <x v="36"/>
    <n v="125"/>
    <n v="0.625"/>
  </r>
  <r>
    <x v="7"/>
    <s v="Pastry"/>
    <s v="P06"/>
    <n v="40"/>
    <n v="65"/>
    <n v="2"/>
    <n v="0"/>
    <n v="2"/>
    <x v="2"/>
    <x v="2"/>
    <x v="37"/>
    <n v="50"/>
    <n v="1"/>
  </r>
  <r>
    <x v="8"/>
    <s v="Pastry"/>
    <s v="P07"/>
    <n v="50"/>
    <n v="70"/>
    <n v="4"/>
    <n v="3"/>
    <n v="1"/>
    <x v="2"/>
    <x v="2"/>
    <x v="20"/>
    <n v="20"/>
    <n v="0.25"/>
  </r>
  <r>
    <x v="9"/>
    <s v="Pastry"/>
    <s v="P08"/>
    <n v="20"/>
    <n v="30"/>
    <n v="22"/>
    <n v="19"/>
    <n v="3"/>
    <x v="2"/>
    <x v="2"/>
    <x v="38"/>
    <n v="30"/>
    <n v="0.13636363636363635"/>
  </r>
  <r>
    <x v="10"/>
    <s v="Pastry"/>
    <s v="P09"/>
    <n v="10"/>
    <n v="20"/>
    <n v="6"/>
    <n v="6"/>
    <n v="0"/>
    <x v="2"/>
    <x v="2"/>
    <x v="17"/>
    <n v="0"/>
    <n v="0"/>
  </r>
  <r>
    <x v="11"/>
    <s v="Pastry"/>
    <s v="P10"/>
    <n v="60"/>
    <n v="100"/>
    <n v="5"/>
    <n v="5"/>
    <n v="0"/>
    <x v="2"/>
    <x v="2"/>
    <x v="17"/>
    <n v="0"/>
    <n v="0"/>
  </r>
  <r>
    <x v="12"/>
    <s v="Snack"/>
    <s v="S01"/>
    <n v="50"/>
    <n v="70"/>
    <n v="6"/>
    <n v="5"/>
    <n v="1"/>
    <x v="2"/>
    <x v="2"/>
    <x v="20"/>
    <n v="20"/>
    <n v="0.16666666666666666"/>
  </r>
  <r>
    <x v="13"/>
    <s v="Snack"/>
    <s v="S02"/>
    <n v="45"/>
    <n v="65"/>
    <n v="4"/>
    <n v="4"/>
    <n v="0"/>
    <x v="2"/>
    <x v="2"/>
    <x v="17"/>
    <n v="0"/>
    <n v="0"/>
  </r>
  <r>
    <x v="14"/>
    <s v="Snack"/>
    <s v="S03"/>
    <n v="50"/>
    <n v="70"/>
    <n v="3"/>
    <n v="3"/>
    <n v="0"/>
    <x v="2"/>
    <x v="2"/>
    <x v="17"/>
    <n v="0"/>
    <n v="0"/>
  </r>
  <r>
    <x v="15"/>
    <s v="Snack"/>
    <s v="S04"/>
    <n v="10"/>
    <n v="15"/>
    <n v="8"/>
    <n v="6"/>
    <n v="2"/>
    <x v="2"/>
    <x v="2"/>
    <x v="32"/>
    <n v="10"/>
    <n v="0.25"/>
  </r>
  <r>
    <x v="16"/>
    <s v="Snack"/>
    <s v="S05"/>
    <n v="20"/>
    <n v="25"/>
    <n v="7"/>
    <n v="6"/>
    <n v="1"/>
    <x v="2"/>
    <x v="2"/>
    <x v="39"/>
    <n v="5"/>
    <n v="0.14285714285714285"/>
  </r>
  <r>
    <x v="17"/>
    <s v="Bread Item"/>
    <s v="B01"/>
    <n v="25"/>
    <n v="30"/>
    <n v="0"/>
    <n v="0"/>
    <n v="0"/>
    <x v="2"/>
    <x v="2"/>
    <x v="17"/>
    <n v="0"/>
    <n v="0"/>
  </r>
  <r>
    <x v="18"/>
    <s v="Bread Item"/>
    <s v="B02"/>
    <n v="25"/>
    <n v="30"/>
    <n v="6"/>
    <n v="5"/>
    <n v="1"/>
    <x v="2"/>
    <x v="2"/>
    <x v="32"/>
    <n v="5"/>
    <n v="0.16666666666666666"/>
  </r>
  <r>
    <x v="19"/>
    <s v="Bread Item"/>
    <s v="B03"/>
    <n v="25"/>
    <n v="30"/>
    <n v="0"/>
    <n v="0"/>
    <n v="0"/>
    <x v="2"/>
    <x v="2"/>
    <x v="17"/>
    <n v="0"/>
    <n v="0"/>
  </r>
  <r>
    <x v="20"/>
    <s v="Bread Item"/>
    <s v="B04"/>
    <n v="30"/>
    <n v="35"/>
    <n v="0"/>
    <n v="0"/>
    <n v="0"/>
    <x v="2"/>
    <x v="2"/>
    <x v="17"/>
    <n v="0"/>
    <n v="0"/>
  </r>
  <r>
    <x v="0"/>
    <s v="Fresh Cream"/>
    <s v="F01"/>
    <n v="100"/>
    <n v="200"/>
    <n v="3"/>
    <n v="2"/>
    <n v="1"/>
    <x v="3"/>
    <x v="3"/>
    <x v="19"/>
    <n v="100"/>
    <n v="0.33333333333333331"/>
  </r>
  <r>
    <x v="1"/>
    <s v="Fresh Cream"/>
    <s v="F02"/>
    <n v="200"/>
    <n v="300"/>
    <n v="3"/>
    <n v="1"/>
    <n v="2"/>
    <x v="3"/>
    <x v="3"/>
    <x v="3"/>
    <n v="200"/>
    <n v="0.66666666666666663"/>
  </r>
  <r>
    <x v="2"/>
    <s v="Fresh Cream"/>
    <s v="F03"/>
    <n v="150"/>
    <n v="250"/>
    <n v="2"/>
    <n v="2"/>
    <n v="0"/>
    <x v="3"/>
    <x v="3"/>
    <x v="17"/>
    <n v="0"/>
    <n v="0"/>
  </r>
  <r>
    <x v="3"/>
    <s v="Fresh Cream"/>
    <s v="F04"/>
    <n v="100"/>
    <n v="200"/>
    <n v="2"/>
    <n v="1"/>
    <n v="1"/>
    <x v="3"/>
    <x v="3"/>
    <x v="19"/>
    <n v="100"/>
    <n v="0.5"/>
  </r>
  <r>
    <x v="0"/>
    <s v="Rich Cream"/>
    <s v="R01"/>
    <n v="250"/>
    <n v="350"/>
    <n v="3"/>
    <n v="1"/>
    <n v="2"/>
    <x v="3"/>
    <x v="3"/>
    <x v="4"/>
    <n v="200"/>
    <n v="0.66666666666666663"/>
  </r>
  <r>
    <x v="1"/>
    <s v="Rich Cream"/>
    <s v="R02"/>
    <n v="300"/>
    <n v="400"/>
    <n v="1"/>
    <n v="1"/>
    <n v="0"/>
    <x v="3"/>
    <x v="3"/>
    <x v="17"/>
    <n v="0"/>
    <n v="0"/>
  </r>
  <r>
    <x v="2"/>
    <s v="Rich Cream"/>
    <s v="R03"/>
    <n v="250"/>
    <n v="350"/>
    <n v="2"/>
    <n v="1"/>
    <n v="1"/>
    <x v="3"/>
    <x v="3"/>
    <x v="7"/>
    <n v="100"/>
    <n v="0.5"/>
  </r>
  <r>
    <x v="3"/>
    <s v="Rich Cream"/>
    <s v="R04"/>
    <n v="250"/>
    <n v="350"/>
    <n v="2"/>
    <n v="2"/>
    <n v="0"/>
    <x v="3"/>
    <x v="3"/>
    <x v="17"/>
    <n v="0"/>
    <n v="0"/>
  </r>
  <r>
    <x v="4"/>
    <s v="Rich Cream"/>
    <s v="R05"/>
    <n v="300"/>
    <n v="450"/>
    <n v="4"/>
    <n v="1"/>
    <n v="3"/>
    <x v="3"/>
    <x v="3"/>
    <x v="27"/>
    <n v="450"/>
    <n v="0.75"/>
  </r>
  <r>
    <x v="5"/>
    <s v="Dry Cake"/>
    <s v="D01"/>
    <n v="320"/>
    <n v="400"/>
    <n v="2"/>
    <n v="1"/>
    <n v="1"/>
    <x v="3"/>
    <x v="3"/>
    <x v="0"/>
    <n v="80"/>
    <n v="0.5"/>
  </r>
  <r>
    <x v="6"/>
    <s v="Dry Cake"/>
    <s v="D02"/>
    <n v="100"/>
    <n v="150"/>
    <n v="0"/>
    <n v="0"/>
    <n v="0"/>
    <x v="3"/>
    <x v="3"/>
    <x v="17"/>
    <n v="0"/>
    <n v="0"/>
  </r>
  <r>
    <x v="0"/>
    <s v="Pastry"/>
    <s v="P01"/>
    <n v="25"/>
    <n v="40"/>
    <n v="1"/>
    <n v="0"/>
    <n v="1"/>
    <x v="3"/>
    <x v="3"/>
    <x v="35"/>
    <n v="15"/>
    <n v="1"/>
  </r>
  <r>
    <x v="1"/>
    <s v="Pastry"/>
    <s v="P02"/>
    <n v="30"/>
    <n v="50"/>
    <n v="2"/>
    <n v="0"/>
    <n v="2"/>
    <x v="3"/>
    <x v="3"/>
    <x v="33"/>
    <n v="40"/>
    <n v="1"/>
  </r>
  <r>
    <x v="3"/>
    <s v="Pastry"/>
    <s v="P03"/>
    <n v="25"/>
    <n v="40"/>
    <n v="5"/>
    <n v="0"/>
    <n v="5"/>
    <x v="3"/>
    <x v="3"/>
    <x v="19"/>
    <n v="75"/>
    <n v="1"/>
  </r>
  <r>
    <x v="2"/>
    <s v="Pastry"/>
    <s v="P04"/>
    <n v="25"/>
    <n v="40"/>
    <n v="9"/>
    <n v="2"/>
    <n v="7"/>
    <x v="3"/>
    <x v="3"/>
    <x v="29"/>
    <n v="105"/>
    <n v="0.77777777777777779"/>
  </r>
  <r>
    <x v="4"/>
    <s v="Pastry"/>
    <s v="P05"/>
    <n v="30"/>
    <n v="55"/>
    <n v="3"/>
    <n v="0"/>
    <n v="3"/>
    <x v="3"/>
    <x v="3"/>
    <x v="40"/>
    <n v="75"/>
    <n v="1"/>
  </r>
  <r>
    <x v="7"/>
    <s v="Pastry"/>
    <s v="P06"/>
    <n v="40"/>
    <n v="65"/>
    <n v="0"/>
    <n v="0"/>
    <n v="0"/>
    <x v="3"/>
    <x v="3"/>
    <x v="17"/>
    <n v="0"/>
    <n v="0"/>
  </r>
  <r>
    <x v="8"/>
    <s v="Pastry"/>
    <s v="P07"/>
    <n v="50"/>
    <n v="70"/>
    <n v="3"/>
    <n v="3"/>
    <n v="0"/>
    <x v="3"/>
    <x v="3"/>
    <x v="17"/>
    <n v="0"/>
    <n v="0"/>
  </r>
  <r>
    <x v="9"/>
    <s v="Pastry"/>
    <s v="P08"/>
    <n v="20"/>
    <n v="30"/>
    <n v="19"/>
    <n v="16"/>
    <n v="3"/>
    <x v="3"/>
    <x v="3"/>
    <x v="38"/>
    <n v="30"/>
    <n v="0.15789473684210525"/>
  </r>
  <r>
    <x v="10"/>
    <s v="Pastry"/>
    <s v="P09"/>
    <n v="10"/>
    <n v="20"/>
    <n v="6"/>
    <n v="6"/>
    <n v="0"/>
    <x v="3"/>
    <x v="3"/>
    <x v="17"/>
    <n v="0"/>
    <n v="0"/>
  </r>
  <r>
    <x v="11"/>
    <s v="Pastry"/>
    <s v="P10"/>
    <n v="60"/>
    <n v="100"/>
    <n v="5"/>
    <n v="5"/>
    <n v="0"/>
    <x v="3"/>
    <x v="3"/>
    <x v="17"/>
    <n v="0"/>
    <n v="0"/>
  </r>
  <r>
    <x v="12"/>
    <s v="Snack"/>
    <s v="S01"/>
    <n v="50"/>
    <n v="70"/>
    <n v="5"/>
    <n v="5"/>
    <n v="0"/>
    <x v="3"/>
    <x v="3"/>
    <x v="17"/>
    <n v="0"/>
    <n v="0"/>
  </r>
  <r>
    <x v="13"/>
    <s v="Snack"/>
    <s v="S02"/>
    <n v="45"/>
    <n v="65"/>
    <n v="4"/>
    <n v="4"/>
    <n v="0"/>
    <x v="3"/>
    <x v="3"/>
    <x v="17"/>
    <n v="0"/>
    <n v="0"/>
  </r>
  <r>
    <x v="14"/>
    <s v="Snack"/>
    <s v="S03"/>
    <n v="50"/>
    <n v="70"/>
    <n v="3"/>
    <n v="3"/>
    <n v="0"/>
    <x v="3"/>
    <x v="3"/>
    <x v="17"/>
    <n v="0"/>
    <n v="0"/>
  </r>
  <r>
    <x v="15"/>
    <s v="Snack"/>
    <s v="S04"/>
    <n v="10"/>
    <n v="15"/>
    <n v="6"/>
    <n v="4"/>
    <n v="2"/>
    <x v="3"/>
    <x v="3"/>
    <x v="32"/>
    <n v="10"/>
    <n v="0.33333333333333331"/>
  </r>
  <r>
    <x v="16"/>
    <s v="Snack"/>
    <s v="S05"/>
    <n v="20"/>
    <n v="25"/>
    <n v="6"/>
    <n v="4"/>
    <n v="2"/>
    <x v="3"/>
    <x v="3"/>
    <x v="41"/>
    <n v="10"/>
    <n v="0.33333333333333331"/>
  </r>
  <r>
    <x v="17"/>
    <s v="Bread Item"/>
    <s v="B01"/>
    <n v="25"/>
    <n v="30"/>
    <n v="10"/>
    <n v="10"/>
    <n v="0"/>
    <x v="3"/>
    <x v="3"/>
    <x v="17"/>
    <n v="0"/>
    <n v="0"/>
  </r>
  <r>
    <x v="18"/>
    <s v="Bread Item"/>
    <s v="B02"/>
    <n v="25"/>
    <n v="30"/>
    <n v="10"/>
    <n v="8"/>
    <n v="2"/>
    <x v="3"/>
    <x v="3"/>
    <x v="42"/>
    <n v="10"/>
    <n v="0.2"/>
  </r>
  <r>
    <x v="19"/>
    <s v="Bread Item"/>
    <s v="B03"/>
    <n v="25"/>
    <n v="30"/>
    <n v="5"/>
    <n v="3"/>
    <n v="2"/>
    <x v="3"/>
    <x v="3"/>
    <x v="42"/>
    <n v="10"/>
    <n v="0.4"/>
  </r>
  <r>
    <x v="20"/>
    <s v="Bread Item"/>
    <s v="B04"/>
    <n v="30"/>
    <n v="35"/>
    <n v="5"/>
    <n v="3"/>
    <n v="2"/>
    <x v="3"/>
    <x v="3"/>
    <x v="20"/>
    <n v="10"/>
    <n v="0.4"/>
  </r>
  <r>
    <x v="0"/>
    <s v="Fresh Cream"/>
    <s v="F01"/>
    <n v="100"/>
    <n v="200"/>
    <n v="2"/>
    <n v="2"/>
    <n v="0"/>
    <x v="4"/>
    <x v="4"/>
    <x v="17"/>
    <n v="0"/>
    <n v="0"/>
  </r>
  <r>
    <x v="1"/>
    <s v="Fresh Cream"/>
    <s v="F02"/>
    <n v="200"/>
    <n v="300"/>
    <n v="2"/>
    <n v="2"/>
    <n v="0"/>
    <x v="4"/>
    <x v="4"/>
    <x v="17"/>
    <n v="0"/>
    <n v="0"/>
  </r>
  <r>
    <x v="2"/>
    <s v="Fresh Cream"/>
    <s v="F03"/>
    <n v="150"/>
    <n v="250"/>
    <n v="2"/>
    <n v="0"/>
    <n v="2"/>
    <x v="4"/>
    <x v="4"/>
    <x v="12"/>
    <n v="200"/>
    <n v="1"/>
  </r>
  <r>
    <x v="3"/>
    <s v="Fresh Cream"/>
    <s v="F04"/>
    <n v="100"/>
    <n v="200"/>
    <n v="1"/>
    <n v="1"/>
    <n v="0"/>
    <x v="4"/>
    <x v="4"/>
    <x v="17"/>
    <n v="0"/>
    <n v="0"/>
  </r>
  <r>
    <x v="0"/>
    <s v="Rich Cream"/>
    <s v="R01"/>
    <n v="250"/>
    <n v="350"/>
    <n v="3"/>
    <n v="3"/>
    <n v="0"/>
    <x v="4"/>
    <x v="4"/>
    <x v="17"/>
    <n v="0"/>
    <n v="0"/>
  </r>
  <r>
    <x v="1"/>
    <s v="Rich Cream"/>
    <s v="R02"/>
    <n v="300"/>
    <n v="400"/>
    <n v="1"/>
    <n v="0"/>
    <n v="1"/>
    <x v="4"/>
    <x v="4"/>
    <x v="0"/>
    <n v="100"/>
    <n v="1"/>
  </r>
  <r>
    <x v="2"/>
    <s v="Rich Cream"/>
    <s v="R03"/>
    <n v="250"/>
    <n v="350"/>
    <n v="1"/>
    <n v="1"/>
    <n v="0"/>
    <x v="4"/>
    <x v="4"/>
    <x v="17"/>
    <n v="0"/>
    <n v="0"/>
  </r>
  <r>
    <x v="3"/>
    <s v="Rich Cream"/>
    <s v="R04"/>
    <n v="250"/>
    <n v="350"/>
    <n v="3"/>
    <n v="1"/>
    <n v="2"/>
    <x v="4"/>
    <x v="4"/>
    <x v="4"/>
    <n v="200"/>
    <n v="0.66666666666666663"/>
  </r>
  <r>
    <x v="4"/>
    <s v="Rich Cream"/>
    <s v="R05"/>
    <n v="300"/>
    <n v="450"/>
    <n v="1"/>
    <n v="1"/>
    <n v="0"/>
    <x v="4"/>
    <x v="4"/>
    <x v="17"/>
    <n v="0"/>
    <n v="0"/>
  </r>
  <r>
    <x v="5"/>
    <s v="Dry Cake"/>
    <s v="D01"/>
    <n v="320"/>
    <n v="400"/>
    <n v="1"/>
    <n v="1"/>
    <n v="0"/>
    <x v="4"/>
    <x v="4"/>
    <x v="17"/>
    <n v="0"/>
    <n v="0"/>
  </r>
  <r>
    <x v="6"/>
    <s v="Dry Cake"/>
    <s v="D02"/>
    <n v="100"/>
    <n v="150"/>
    <n v="0"/>
    <n v="0"/>
    <n v="0"/>
    <x v="4"/>
    <x v="4"/>
    <x v="17"/>
    <n v="0"/>
    <n v="0"/>
  </r>
  <r>
    <x v="0"/>
    <s v="Pastry"/>
    <s v="P01"/>
    <n v="25"/>
    <n v="40"/>
    <n v="18"/>
    <n v="5"/>
    <n v="13"/>
    <x v="4"/>
    <x v="4"/>
    <x v="43"/>
    <n v="195"/>
    <n v="0.72222222222222221"/>
  </r>
  <r>
    <x v="1"/>
    <s v="Pastry"/>
    <s v="P02"/>
    <n v="30"/>
    <n v="50"/>
    <n v="7"/>
    <n v="5"/>
    <n v="2"/>
    <x v="4"/>
    <x v="4"/>
    <x v="33"/>
    <n v="40"/>
    <n v="0.2857142857142857"/>
  </r>
  <r>
    <x v="3"/>
    <s v="Pastry"/>
    <s v="P03"/>
    <n v="25"/>
    <n v="40"/>
    <n v="0"/>
    <n v="0"/>
    <n v="0"/>
    <x v="4"/>
    <x v="4"/>
    <x v="17"/>
    <n v="0"/>
    <n v="0"/>
  </r>
  <r>
    <x v="2"/>
    <s v="Pastry"/>
    <s v="P04"/>
    <n v="25"/>
    <n v="40"/>
    <n v="2"/>
    <n v="0"/>
    <n v="2"/>
    <x v="4"/>
    <x v="4"/>
    <x v="44"/>
    <n v="30"/>
    <n v="1"/>
  </r>
  <r>
    <x v="4"/>
    <s v="Pastry"/>
    <s v="P05"/>
    <n v="30"/>
    <n v="55"/>
    <n v="7"/>
    <n v="6"/>
    <n v="1"/>
    <x v="4"/>
    <x v="4"/>
    <x v="30"/>
    <n v="25"/>
    <n v="0.14285714285714285"/>
  </r>
  <r>
    <x v="7"/>
    <s v="Pastry"/>
    <s v="P06"/>
    <n v="40"/>
    <n v="65"/>
    <n v="0"/>
    <n v="0"/>
    <n v="0"/>
    <x v="4"/>
    <x v="4"/>
    <x v="17"/>
    <n v="0"/>
    <n v="0"/>
  </r>
  <r>
    <x v="8"/>
    <s v="Pastry"/>
    <s v="P07"/>
    <n v="50"/>
    <n v="70"/>
    <n v="3"/>
    <n v="3"/>
    <n v="0"/>
    <x v="4"/>
    <x v="4"/>
    <x v="17"/>
    <n v="0"/>
    <n v="0"/>
  </r>
  <r>
    <x v="9"/>
    <s v="Pastry"/>
    <s v="P08"/>
    <n v="20"/>
    <n v="30"/>
    <n v="16"/>
    <n v="12"/>
    <n v="4"/>
    <x v="4"/>
    <x v="4"/>
    <x v="28"/>
    <n v="40"/>
    <n v="0.25"/>
  </r>
  <r>
    <x v="10"/>
    <s v="Pastry"/>
    <s v="P09"/>
    <n v="10"/>
    <n v="20"/>
    <n v="6"/>
    <n v="6"/>
    <n v="0"/>
    <x v="4"/>
    <x v="4"/>
    <x v="17"/>
    <n v="0"/>
    <n v="0"/>
  </r>
  <r>
    <x v="11"/>
    <s v="Pastry"/>
    <s v="P10"/>
    <n v="60"/>
    <n v="100"/>
    <n v="5"/>
    <n v="5"/>
    <n v="0"/>
    <x v="4"/>
    <x v="4"/>
    <x v="17"/>
    <n v="0"/>
    <n v="0"/>
  </r>
  <r>
    <x v="12"/>
    <s v="Snack"/>
    <s v="S01"/>
    <n v="50"/>
    <n v="70"/>
    <n v="5"/>
    <n v="5"/>
    <n v="0"/>
    <x v="4"/>
    <x v="4"/>
    <x v="17"/>
    <n v="0"/>
    <n v="0"/>
  </r>
  <r>
    <x v="13"/>
    <s v="Snack"/>
    <s v="S02"/>
    <n v="45"/>
    <n v="65"/>
    <n v="4"/>
    <n v="4"/>
    <n v="0"/>
    <x v="4"/>
    <x v="4"/>
    <x v="17"/>
    <n v="0"/>
    <n v="0"/>
  </r>
  <r>
    <x v="14"/>
    <s v="Snack"/>
    <s v="S03"/>
    <n v="50"/>
    <n v="70"/>
    <n v="3"/>
    <n v="3"/>
    <n v="0"/>
    <x v="4"/>
    <x v="4"/>
    <x v="17"/>
    <n v="0"/>
    <n v="0"/>
  </r>
  <r>
    <x v="15"/>
    <s v="Snack"/>
    <s v="S04"/>
    <n v="10"/>
    <n v="15"/>
    <n v="9"/>
    <n v="5"/>
    <n v="4"/>
    <x v="4"/>
    <x v="4"/>
    <x v="42"/>
    <n v="20"/>
    <n v="0.44444444444444442"/>
  </r>
  <r>
    <x v="16"/>
    <s v="Snack"/>
    <s v="S05"/>
    <n v="20"/>
    <n v="25"/>
    <n v="9"/>
    <n v="7"/>
    <n v="2"/>
    <x v="4"/>
    <x v="4"/>
    <x v="41"/>
    <n v="10"/>
    <n v="0.22222222222222221"/>
  </r>
  <r>
    <x v="17"/>
    <s v="Bread Item"/>
    <s v="B01"/>
    <n v="25"/>
    <n v="30"/>
    <n v="10"/>
    <n v="3"/>
    <n v="7"/>
    <x v="4"/>
    <x v="4"/>
    <x v="24"/>
    <n v="35"/>
    <n v="0.7"/>
  </r>
  <r>
    <x v="18"/>
    <s v="Bread Item"/>
    <s v="B02"/>
    <n v="25"/>
    <n v="30"/>
    <n v="8"/>
    <n v="7"/>
    <n v="1"/>
    <x v="4"/>
    <x v="4"/>
    <x v="32"/>
    <n v="5"/>
    <n v="0.125"/>
  </r>
  <r>
    <x v="19"/>
    <s v="Bread Item"/>
    <s v="B03"/>
    <n v="25"/>
    <n v="30"/>
    <n v="3"/>
    <n v="0"/>
    <n v="3"/>
    <x v="4"/>
    <x v="4"/>
    <x v="38"/>
    <n v="15"/>
    <n v="1"/>
  </r>
  <r>
    <x v="20"/>
    <s v="Bread Item"/>
    <s v="B04"/>
    <n v="30"/>
    <n v="35"/>
    <n v="3"/>
    <n v="0"/>
    <n v="3"/>
    <x v="4"/>
    <x v="4"/>
    <x v="45"/>
    <n v="15"/>
    <n v="1"/>
  </r>
  <r>
    <x v="0"/>
    <s v="Fresh Cream"/>
    <s v="F01"/>
    <n v="100"/>
    <n v="200"/>
    <n v="11"/>
    <n v="9"/>
    <n v="2"/>
    <x v="5"/>
    <x v="5"/>
    <x v="0"/>
    <n v="200"/>
    <n v="0.18181818181818182"/>
  </r>
  <r>
    <x v="1"/>
    <s v="Fresh Cream"/>
    <s v="F02"/>
    <n v="200"/>
    <n v="300"/>
    <n v="4"/>
    <n v="2"/>
    <n v="2"/>
    <x v="5"/>
    <x v="5"/>
    <x v="3"/>
    <n v="200"/>
    <n v="0.5"/>
  </r>
  <r>
    <x v="2"/>
    <s v="Fresh Cream"/>
    <s v="F03"/>
    <n v="150"/>
    <n v="250"/>
    <n v="1"/>
    <n v="1"/>
    <n v="0"/>
    <x v="5"/>
    <x v="5"/>
    <x v="17"/>
    <n v="0"/>
    <n v="0"/>
  </r>
  <r>
    <x v="3"/>
    <s v="Fresh Cream"/>
    <s v="F04"/>
    <n v="100"/>
    <n v="200"/>
    <n v="9"/>
    <n v="8"/>
    <n v="1"/>
    <x v="5"/>
    <x v="5"/>
    <x v="19"/>
    <n v="100"/>
    <n v="0.1111111111111111"/>
  </r>
  <r>
    <x v="0"/>
    <s v="Rich Cream"/>
    <s v="R01"/>
    <n v="250"/>
    <n v="350"/>
    <n v="7"/>
    <n v="2"/>
    <n v="5"/>
    <x v="5"/>
    <x v="5"/>
    <x v="46"/>
    <n v="500"/>
    <n v="0.7142857142857143"/>
  </r>
  <r>
    <x v="1"/>
    <s v="Rich Cream"/>
    <s v="R02"/>
    <n v="300"/>
    <n v="400"/>
    <n v="0"/>
    <n v="0"/>
    <n v="0"/>
    <x v="5"/>
    <x v="5"/>
    <x v="17"/>
    <n v="0"/>
    <n v="0"/>
  </r>
  <r>
    <x v="2"/>
    <s v="Rich Cream"/>
    <s v="R03"/>
    <n v="250"/>
    <n v="350"/>
    <n v="5"/>
    <n v="0"/>
    <n v="5"/>
    <x v="5"/>
    <x v="5"/>
    <x v="46"/>
    <n v="500"/>
    <n v="1"/>
  </r>
  <r>
    <x v="3"/>
    <s v="Rich Cream"/>
    <s v="R04"/>
    <n v="250"/>
    <n v="350"/>
    <n v="6"/>
    <n v="2"/>
    <n v="4"/>
    <x v="5"/>
    <x v="5"/>
    <x v="6"/>
    <n v="400"/>
    <n v="0.66666666666666663"/>
  </r>
  <r>
    <x v="4"/>
    <s v="Rich Cream"/>
    <s v="R05"/>
    <n v="300"/>
    <n v="450"/>
    <n v="3"/>
    <n v="1"/>
    <n v="2"/>
    <x v="5"/>
    <x v="5"/>
    <x v="1"/>
    <n v="300"/>
    <n v="0.66666666666666663"/>
  </r>
  <r>
    <x v="5"/>
    <s v="Dry Cake"/>
    <s v="D01"/>
    <n v="320"/>
    <n v="400"/>
    <n v="2"/>
    <n v="2"/>
    <n v="0"/>
    <x v="5"/>
    <x v="5"/>
    <x v="17"/>
    <n v="0"/>
    <n v="0"/>
  </r>
  <r>
    <x v="6"/>
    <s v="Dry Cake"/>
    <s v="D02"/>
    <n v="100"/>
    <n v="150"/>
    <n v="10"/>
    <n v="9"/>
    <n v="1"/>
    <x v="5"/>
    <x v="5"/>
    <x v="22"/>
    <n v="50"/>
    <n v="0.1"/>
  </r>
  <r>
    <x v="0"/>
    <s v="Pastry"/>
    <s v="P01"/>
    <n v="25"/>
    <n v="40"/>
    <n v="25"/>
    <n v="19"/>
    <n v="6"/>
    <x v="5"/>
    <x v="5"/>
    <x v="47"/>
    <n v="90"/>
    <n v="0.24"/>
  </r>
  <r>
    <x v="1"/>
    <s v="Pastry"/>
    <s v="P02"/>
    <n v="30"/>
    <n v="50"/>
    <n v="21"/>
    <n v="14"/>
    <n v="7"/>
    <x v="5"/>
    <x v="5"/>
    <x v="7"/>
    <n v="140"/>
    <n v="0.33333333333333331"/>
  </r>
  <r>
    <x v="3"/>
    <s v="Pastry"/>
    <s v="P03"/>
    <n v="25"/>
    <n v="40"/>
    <n v="20"/>
    <n v="12"/>
    <n v="8"/>
    <x v="5"/>
    <x v="5"/>
    <x v="48"/>
    <n v="120"/>
    <n v="0.4"/>
  </r>
  <r>
    <x v="2"/>
    <s v="Pastry"/>
    <s v="P04"/>
    <n v="25"/>
    <n v="40"/>
    <n v="32"/>
    <n v="22"/>
    <n v="10"/>
    <x v="5"/>
    <x v="5"/>
    <x v="0"/>
    <n v="150"/>
    <n v="0.3125"/>
  </r>
  <r>
    <x v="4"/>
    <s v="Pastry"/>
    <s v="P05"/>
    <n v="30"/>
    <n v="55"/>
    <n v="30"/>
    <n v="25"/>
    <n v="5"/>
    <x v="5"/>
    <x v="5"/>
    <x v="36"/>
    <n v="125"/>
    <n v="0.16666666666666666"/>
  </r>
  <r>
    <x v="7"/>
    <s v="Pastry"/>
    <s v="P06"/>
    <n v="40"/>
    <n v="65"/>
    <n v="20"/>
    <n v="10"/>
    <n v="10"/>
    <x v="5"/>
    <x v="5"/>
    <x v="31"/>
    <n v="250"/>
    <n v="0.5"/>
  </r>
  <r>
    <x v="8"/>
    <s v="Pastry"/>
    <s v="P07"/>
    <n v="50"/>
    <n v="70"/>
    <n v="3"/>
    <n v="2"/>
    <n v="1"/>
    <x v="5"/>
    <x v="5"/>
    <x v="20"/>
    <n v="20"/>
    <n v="0.33333333333333331"/>
  </r>
  <r>
    <x v="9"/>
    <s v="Pastry"/>
    <s v="P08"/>
    <n v="20"/>
    <n v="30"/>
    <n v="57"/>
    <n v="45"/>
    <n v="12"/>
    <x v="5"/>
    <x v="5"/>
    <x v="23"/>
    <n v="120"/>
    <n v="0.21052631578947367"/>
  </r>
  <r>
    <x v="10"/>
    <s v="Pastry"/>
    <s v="P09"/>
    <n v="10"/>
    <n v="20"/>
    <n v="6"/>
    <n v="4"/>
    <n v="2"/>
    <x v="5"/>
    <x v="5"/>
    <x v="35"/>
    <n v="20"/>
    <n v="0.33333333333333331"/>
  </r>
  <r>
    <x v="11"/>
    <s v="Pastry"/>
    <s v="P10"/>
    <n v="60"/>
    <n v="100"/>
    <n v="22"/>
    <n v="6"/>
    <n v="16"/>
    <x v="5"/>
    <x v="5"/>
    <x v="5"/>
    <n v="640"/>
    <n v="0.72727272727272729"/>
  </r>
  <r>
    <x v="12"/>
    <s v="Snack"/>
    <s v="S01"/>
    <n v="50"/>
    <n v="70"/>
    <n v="5"/>
    <n v="5"/>
    <n v="0"/>
    <x v="5"/>
    <x v="5"/>
    <x v="17"/>
    <n v="0"/>
    <n v="0"/>
  </r>
  <r>
    <x v="13"/>
    <s v="Snack"/>
    <s v="S02"/>
    <n v="45"/>
    <n v="65"/>
    <n v="4"/>
    <n v="4"/>
    <n v="0"/>
    <x v="5"/>
    <x v="5"/>
    <x v="17"/>
    <n v="0"/>
    <n v="0"/>
  </r>
  <r>
    <x v="14"/>
    <s v="Snack"/>
    <s v="S03"/>
    <n v="50"/>
    <n v="70"/>
    <n v="3"/>
    <n v="3"/>
    <n v="0"/>
    <x v="5"/>
    <x v="5"/>
    <x v="17"/>
    <n v="0"/>
    <n v="0"/>
  </r>
  <r>
    <x v="15"/>
    <s v="Snack"/>
    <s v="S04"/>
    <n v="10"/>
    <n v="15"/>
    <n v="5"/>
    <n v="0"/>
    <n v="5"/>
    <x v="5"/>
    <x v="5"/>
    <x v="49"/>
    <n v="25"/>
    <n v="1"/>
  </r>
  <r>
    <x v="16"/>
    <s v="Snack"/>
    <s v="S05"/>
    <n v="20"/>
    <n v="25"/>
    <n v="7"/>
    <n v="3"/>
    <n v="4"/>
    <x v="5"/>
    <x v="5"/>
    <x v="33"/>
    <n v="20"/>
    <n v="0.5714285714285714"/>
  </r>
  <r>
    <x v="17"/>
    <s v="Bread Item"/>
    <s v="B01"/>
    <n v="25"/>
    <n v="30"/>
    <n v="18"/>
    <n v="16"/>
    <n v="2"/>
    <x v="5"/>
    <x v="5"/>
    <x v="42"/>
    <n v="10"/>
    <n v="0.1111111111111111"/>
  </r>
  <r>
    <x v="18"/>
    <s v="Bread Item"/>
    <s v="B02"/>
    <n v="25"/>
    <n v="30"/>
    <n v="7"/>
    <n v="7"/>
    <n v="0"/>
    <x v="5"/>
    <x v="5"/>
    <x v="17"/>
    <n v="0"/>
    <n v="0"/>
  </r>
  <r>
    <x v="19"/>
    <s v="Bread Item"/>
    <s v="B03"/>
    <n v="25"/>
    <n v="30"/>
    <n v="5"/>
    <n v="0"/>
    <n v="5"/>
    <x v="5"/>
    <x v="5"/>
    <x v="22"/>
    <n v="25"/>
    <n v="1"/>
  </r>
  <r>
    <x v="20"/>
    <s v="Bread Item"/>
    <s v="B04"/>
    <n v="30"/>
    <n v="35"/>
    <n v="13"/>
    <n v="10"/>
    <n v="3"/>
    <x v="5"/>
    <x v="5"/>
    <x v="45"/>
    <n v="15"/>
    <n v="0.23076923076923078"/>
  </r>
  <r>
    <x v="0"/>
    <s v="Fresh Cream"/>
    <s v="F01"/>
    <n v="100"/>
    <n v="200"/>
    <n v="16"/>
    <n v="5"/>
    <n v="11"/>
    <x v="6"/>
    <x v="6"/>
    <x v="50"/>
    <n v="1100"/>
    <n v="0.6875"/>
  </r>
  <r>
    <x v="1"/>
    <s v="Fresh Cream"/>
    <s v="F02"/>
    <n v="200"/>
    <n v="300"/>
    <n v="8"/>
    <n v="2"/>
    <n v="6"/>
    <x v="6"/>
    <x v="6"/>
    <x v="51"/>
    <n v="600"/>
    <n v="0.75"/>
  </r>
  <r>
    <x v="2"/>
    <s v="Fresh Cream"/>
    <s v="F03"/>
    <n v="150"/>
    <n v="250"/>
    <n v="6"/>
    <n v="3"/>
    <n v="3"/>
    <x v="6"/>
    <x v="6"/>
    <x v="2"/>
    <n v="300"/>
    <n v="0.5"/>
  </r>
  <r>
    <x v="3"/>
    <s v="Fresh Cream"/>
    <s v="F04"/>
    <n v="100"/>
    <n v="200"/>
    <n v="15"/>
    <n v="8"/>
    <n v="7"/>
    <x v="6"/>
    <x v="6"/>
    <x v="6"/>
    <n v="700"/>
    <n v="0.46666666666666667"/>
  </r>
  <r>
    <x v="0"/>
    <s v="Rich Cream"/>
    <s v="R01"/>
    <n v="250"/>
    <n v="350"/>
    <n v="15"/>
    <n v="4"/>
    <n v="11"/>
    <x v="6"/>
    <x v="6"/>
    <x v="52"/>
    <n v="1100"/>
    <n v="0.73333333333333328"/>
  </r>
  <r>
    <x v="1"/>
    <s v="Rich Cream"/>
    <s v="R02"/>
    <n v="300"/>
    <n v="400"/>
    <n v="2"/>
    <n v="1"/>
    <n v="1"/>
    <x v="6"/>
    <x v="6"/>
    <x v="0"/>
    <n v="100"/>
    <n v="0.5"/>
  </r>
  <r>
    <x v="2"/>
    <s v="Rich Cream"/>
    <s v="R03"/>
    <n v="250"/>
    <n v="350"/>
    <n v="6"/>
    <n v="1"/>
    <n v="5"/>
    <x v="6"/>
    <x v="6"/>
    <x v="46"/>
    <n v="500"/>
    <n v="0.83333333333333337"/>
  </r>
  <r>
    <x v="3"/>
    <s v="Rich Cream"/>
    <s v="R04"/>
    <n v="250"/>
    <n v="350"/>
    <n v="13"/>
    <n v="2"/>
    <n v="11"/>
    <x v="6"/>
    <x v="6"/>
    <x v="52"/>
    <n v="1100"/>
    <n v="0.84615384615384615"/>
  </r>
  <r>
    <x v="4"/>
    <s v="Rich Cream"/>
    <s v="R05"/>
    <n v="300"/>
    <n v="450"/>
    <n v="6"/>
    <n v="3"/>
    <n v="3"/>
    <x v="6"/>
    <x v="6"/>
    <x v="27"/>
    <n v="450"/>
    <n v="0.5"/>
  </r>
  <r>
    <x v="5"/>
    <s v="Dry Cake"/>
    <s v="D01"/>
    <n v="320"/>
    <n v="400"/>
    <n v="2"/>
    <n v="0"/>
    <n v="2"/>
    <x v="6"/>
    <x v="6"/>
    <x v="53"/>
    <n v="160"/>
    <n v="1"/>
  </r>
  <r>
    <x v="6"/>
    <s v="Dry Cake"/>
    <s v="D02"/>
    <n v="100"/>
    <n v="150"/>
    <n v="10"/>
    <n v="3"/>
    <n v="7"/>
    <x v="6"/>
    <x v="6"/>
    <x v="54"/>
    <n v="350"/>
    <n v="0.7"/>
  </r>
  <r>
    <x v="0"/>
    <s v="Pastry"/>
    <s v="P01"/>
    <n v="25"/>
    <n v="40"/>
    <n v="6"/>
    <n v="0"/>
    <n v="6"/>
    <x v="6"/>
    <x v="6"/>
    <x v="47"/>
    <n v="90"/>
    <n v="1"/>
  </r>
  <r>
    <x v="1"/>
    <s v="Pastry"/>
    <s v="P02"/>
    <n v="30"/>
    <n v="50"/>
    <n v="7"/>
    <n v="4"/>
    <n v="3"/>
    <x v="6"/>
    <x v="6"/>
    <x v="22"/>
    <n v="60"/>
    <n v="0.42857142857142855"/>
  </r>
  <r>
    <x v="3"/>
    <s v="Pastry"/>
    <s v="P03"/>
    <n v="25"/>
    <n v="40"/>
    <n v="8"/>
    <n v="0"/>
    <n v="8"/>
    <x v="6"/>
    <x v="6"/>
    <x v="48"/>
    <n v="120"/>
    <n v="1"/>
  </r>
  <r>
    <x v="2"/>
    <s v="Pastry"/>
    <s v="P04"/>
    <n v="25"/>
    <n v="40"/>
    <n v="10"/>
    <n v="0"/>
    <n v="10"/>
    <x v="6"/>
    <x v="6"/>
    <x v="0"/>
    <n v="150"/>
    <n v="1"/>
  </r>
  <r>
    <x v="4"/>
    <s v="Pastry"/>
    <s v="P05"/>
    <n v="30"/>
    <n v="55"/>
    <n v="5"/>
    <n v="3"/>
    <n v="2"/>
    <x v="6"/>
    <x v="6"/>
    <x v="55"/>
    <n v="50"/>
    <n v="0.4"/>
  </r>
  <r>
    <x v="7"/>
    <s v="Pastry"/>
    <s v="P06"/>
    <n v="40"/>
    <n v="65"/>
    <n v="10"/>
    <n v="6"/>
    <n v="4"/>
    <x v="6"/>
    <x v="6"/>
    <x v="56"/>
    <n v="100"/>
    <n v="0.4"/>
  </r>
  <r>
    <x v="8"/>
    <s v="Pastry"/>
    <s v="P07"/>
    <n v="50"/>
    <n v="70"/>
    <n v="1"/>
    <n v="0"/>
    <n v="1"/>
    <x v="6"/>
    <x v="6"/>
    <x v="20"/>
    <n v="20"/>
    <n v="1"/>
  </r>
  <r>
    <x v="9"/>
    <s v="Pastry"/>
    <s v="P08"/>
    <n v="20"/>
    <n v="30"/>
    <n v="1"/>
    <n v="0"/>
    <n v="1"/>
    <x v="6"/>
    <x v="6"/>
    <x v="32"/>
    <n v="10"/>
    <n v="1"/>
  </r>
  <r>
    <x v="10"/>
    <s v="Pastry"/>
    <s v="P09"/>
    <n v="10"/>
    <n v="20"/>
    <n v="4"/>
    <n v="4"/>
    <n v="0"/>
    <x v="6"/>
    <x v="6"/>
    <x v="17"/>
    <n v="0"/>
    <n v="0"/>
  </r>
  <r>
    <x v="11"/>
    <s v="Pastry"/>
    <s v="P10"/>
    <n v="60"/>
    <n v="100"/>
    <n v="6"/>
    <n v="6"/>
    <n v="0"/>
    <x v="6"/>
    <x v="6"/>
    <x v="17"/>
    <n v="0"/>
    <n v="0"/>
  </r>
  <r>
    <x v="12"/>
    <s v="Snack"/>
    <s v="S01"/>
    <n v="50"/>
    <n v="70"/>
    <n v="5"/>
    <n v="0"/>
    <n v="5"/>
    <x v="6"/>
    <x v="6"/>
    <x v="7"/>
    <n v="100"/>
    <n v="1"/>
  </r>
  <r>
    <x v="13"/>
    <s v="Snack"/>
    <s v="S02"/>
    <n v="45"/>
    <n v="65"/>
    <n v="4"/>
    <n v="4"/>
    <n v="0"/>
    <x v="6"/>
    <x v="6"/>
    <x v="17"/>
    <n v="0"/>
    <n v="0"/>
  </r>
  <r>
    <x v="14"/>
    <s v="Snack"/>
    <s v="S03"/>
    <n v="50"/>
    <n v="70"/>
    <n v="3"/>
    <n v="3"/>
    <n v="0"/>
    <x v="6"/>
    <x v="6"/>
    <x v="17"/>
    <n v="0"/>
    <n v="0"/>
  </r>
  <r>
    <x v="15"/>
    <s v="Snack"/>
    <s v="S04"/>
    <n v="10"/>
    <n v="15"/>
    <n v="20"/>
    <n v="3"/>
    <n v="17"/>
    <x v="6"/>
    <x v="6"/>
    <x v="57"/>
    <n v="85"/>
    <n v="0.85"/>
  </r>
  <r>
    <x v="16"/>
    <s v="Snack"/>
    <s v="S05"/>
    <n v="20"/>
    <n v="25"/>
    <n v="22"/>
    <n v="2"/>
    <n v="20"/>
    <x v="6"/>
    <x v="6"/>
    <x v="12"/>
    <n v="100"/>
    <n v="0.90909090909090906"/>
  </r>
  <r>
    <x v="17"/>
    <s v="Bread Item"/>
    <s v="B01"/>
    <n v="25"/>
    <n v="30"/>
    <n v="35"/>
    <n v="18"/>
    <n v="17"/>
    <x v="6"/>
    <x v="6"/>
    <x v="58"/>
    <n v="85"/>
    <n v="0.48571428571428571"/>
  </r>
  <r>
    <x v="18"/>
    <s v="Bread Item"/>
    <s v="B02"/>
    <n v="25"/>
    <n v="30"/>
    <n v="17"/>
    <n v="10"/>
    <n v="7"/>
    <x v="6"/>
    <x v="6"/>
    <x v="24"/>
    <n v="35"/>
    <n v="0.41176470588235292"/>
  </r>
  <r>
    <x v="19"/>
    <s v="Bread Item"/>
    <s v="B03"/>
    <n v="25"/>
    <n v="30"/>
    <n v="25"/>
    <n v="11"/>
    <n v="14"/>
    <x v="6"/>
    <x v="6"/>
    <x v="59"/>
    <n v="70"/>
    <n v="0.56000000000000005"/>
  </r>
  <r>
    <x v="20"/>
    <s v="Bread Item"/>
    <s v="B04"/>
    <n v="30"/>
    <n v="35"/>
    <n v="13"/>
    <n v="7"/>
    <n v="6"/>
    <x v="6"/>
    <x v="6"/>
    <x v="24"/>
    <n v="30"/>
    <n v="0.46153846153846156"/>
  </r>
  <r>
    <x v="0"/>
    <s v="Fresh Cream"/>
    <s v="F01"/>
    <n v="100"/>
    <n v="200"/>
    <n v="5"/>
    <n v="0"/>
    <n v="5"/>
    <x v="7"/>
    <x v="0"/>
    <x v="60"/>
    <n v="500"/>
    <n v="1"/>
  </r>
  <r>
    <x v="1"/>
    <s v="Fresh Cream"/>
    <s v="F02"/>
    <n v="200"/>
    <n v="300"/>
    <n v="2"/>
    <n v="0"/>
    <n v="2"/>
    <x v="7"/>
    <x v="0"/>
    <x v="3"/>
    <n v="200"/>
    <n v="1"/>
  </r>
  <r>
    <x v="2"/>
    <s v="Fresh Cream"/>
    <s v="F03"/>
    <n v="150"/>
    <n v="250"/>
    <n v="3"/>
    <n v="0"/>
    <n v="3"/>
    <x v="7"/>
    <x v="0"/>
    <x v="2"/>
    <n v="300"/>
    <n v="1"/>
  </r>
  <r>
    <x v="3"/>
    <s v="Fresh Cream"/>
    <s v="F04"/>
    <n v="100"/>
    <n v="200"/>
    <n v="8"/>
    <n v="0"/>
    <n v="8"/>
    <x v="7"/>
    <x v="0"/>
    <x v="5"/>
    <n v="800"/>
    <n v="1"/>
  </r>
  <r>
    <x v="0"/>
    <s v="Rich Cream"/>
    <s v="R01"/>
    <n v="250"/>
    <n v="350"/>
    <n v="4"/>
    <n v="1"/>
    <n v="3"/>
    <x v="7"/>
    <x v="0"/>
    <x v="54"/>
    <n v="300"/>
    <n v="0.75"/>
  </r>
  <r>
    <x v="1"/>
    <s v="Rich Cream"/>
    <s v="R02"/>
    <n v="300"/>
    <n v="400"/>
    <n v="1"/>
    <n v="0"/>
    <n v="1"/>
    <x v="7"/>
    <x v="0"/>
    <x v="0"/>
    <n v="100"/>
    <n v="1"/>
  </r>
  <r>
    <x v="2"/>
    <s v="Rich Cream"/>
    <s v="R03"/>
    <n v="250"/>
    <n v="350"/>
    <n v="1"/>
    <n v="1"/>
    <n v="0"/>
    <x v="7"/>
    <x v="0"/>
    <x v="17"/>
    <n v="0"/>
    <n v="0"/>
  </r>
  <r>
    <x v="3"/>
    <s v="Rich Cream"/>
    <s v="R04"/>
    <n v="250"/>
    <n v="350"/>
    <n v="2"/>
    <n v="0"/>
    <n v="2"/>
    <x v="7"/>
    <x v="0"/>
    <x v="4"/>
    <n v="200"/>
    <n v="1"/>
  </r>
  <r>
    <x v="4"/>
    <s v="Rich Cream"/>
    <s v="R05"/>
    <n v="300"/>
    <n v="450"/>
    <n v="3"/>
    <n v="1"/>
    <n v="2"/>
    <x v="7"/>
    <x v="0"/>
    <x v="1"/>
    <n v="300"/>
    <n v="0.66666666666666663"/>
  </r>
  <r>
    <x v="5"/>
    <s v="Dry Cake"/>
    <s v="D01"/>
    <n v="320"/>
    <n v="400"/>
    <n v="0"/>
    <n v="0"/>
    <n v="0"/>
    <x v="7"/>
    <x v="0"/>
    <x v="17"/>
    <n v="0"/>
    <n v="0"/>
  </r>
  <r>
    <x v="6"/>
    <s v="Dry Cake"/>
    <s v="D02"/>
    <n v="100"/>
    <n v="150"/>
    <n v="3"/>
    <n v="2"/>
    <n v="1"/>
    <x v="7"/>
    <x v="0"/>
    <x v="22"/>
    <n v="50"/>
    <n v="0.33333333333333331"/>
  </r>
  <r>
    <x v="0"/>
    <s v="Pastry"/>
    <s v="P01"/>
    <n v="25"/>
    <n v="40"/>
    <n v="0"/>
    <n v="0"/>
    <n v="0"/>
    <x v="7"/>
    <x v="0"/>
    <x v="17"/>
    <n v="0"/>
    <n v="0"/>
  </r>
  <r>
    <x v="1"/>
    <s v="Pastry"/>
    <s v="P02"/>
    <n v="30"/>
    <n v="50"/>
    <n v="4"/>
    <n v="4"/>
    <n v="0"/>
    <x v="7"/>
    <x v="0"/>
    <x v="17"/>
    <n v="0"/>
    <n v="0"/>
  </r>
  <r>
    <x v="3"/>
    <s v="Pastry"/>
    <s v="P03"/>
    <n v="25"/>
    <n v="40"/>
    <n v="0"/>
    <n v="0"/>
    <n v="0"/>
    <x v="7"/>
    <x v="0"/>
    <x v="17"/>
    <n v="0"/>
    <n v="0"/>
  </r>
  <r>
    <x v="2"/>
    <s v="Pastry"/>
    <s v="P04"/>
    <n v="25"/>
    <n v="40"/>
    <n v="0"/>
    <n v="0"/>
    <n v="0"/>
    <x v="7"/>
    <x v="0"/>
    <x v="17"/>
    <n v="0"/>
    <n v="0"/>
  </r>
  <r>
    <x v="4"/>
    <s v="Pastry"/>
    <s v="P05"/>
    <n v="30"/>
    <n v="55"/>
    <n v="3"/>
    <n v="3"/>
    <n v="0"/>
    <x v="7"/>
    <x v="0"/>
    <x v="17"/>
    <n v="0"/>
    <n v="0"/>
  </r>
  <r>
    <x v="7"/>
    <s v="Pastry"/>
    <s v="P06"/>
    <n v="40"/>
    <n v="65"/>
    <n v="6"/>
    <n v="6"/>
    <n v="0"/>
    <x v="7"/>
    <x v="0"/>
    <x v="17"/>
    <n v="0"/>
    <n v="0"/>
  </r>
  <r>
    <x v="8"/>
    <s v="Pastry"/>
    <s v="P07"/>
    <n v="50"/>
    <n v="70"/>
    <n v="0"/>
    <n v="0"/>
    <n v="0"/>
    <x v="7"/>
    <x v="0"/>
    <x v="17"/>
    <n v="0"/>
    <n v="0"/>
  </r>
  <r>
    <x v="9"/>
    <s v="Pastry"/>
    <s v="P08"/>
    <n v="20"/>
    <n v="30"/>
    <n v="0"/>
    <n v="0"/>
    <n v="0"/>
    <x v="7"/>
    <x v="0"/>
    <x v="17"/>
    <n v="0"/>
    <n v="0"/>
  </r>
  <r>
    <x v="10"/>
    <s v="Pastry"/>
    <s v="P09"/>
    <n v="10"/>
    <n v="20"/>
    <n v="4"/>
    <n v="4"/>
    <n v="0"/>
    <x v="7"/>
    <x v="0"/>
    <x v="17"/>
    <n v="0"/>
    <n v="0"/>
  </r>
  <r>
    <x v="11"/>
    <s v="Pastry"/>
    <s v="P10"/>
    <n v="60"/>
    <n v="100"/>
    <n v="6"/>
    <n v="6"/>
    <n v="0"/>
    <x v="7"/>
    <x v="0"/>
    <x v="17"/>
    <n v="0"/>
    <n v="0"/>
  </r>
  <r>
    <x v="12"/>
    <s v="Snack"/>
    <s v="S01"/>
    <n v="50"/>
    <n v="70"/>
    <n v="0"/>
    <n v="0"/>
    <n v="0"/>
    <x v="7"/>
    <x v="0"/>
    <x v="17"/>
    <n v="0"/>
    <n v="0"/>
  </r>
  <r>
    <x v="13"/>
    <s v="Snack"/>
    <s v="S02"/>
    <n v="45"/>
    <n v="65"/>
    <n v="4"/>
    <n v="4"/>
    <n v="0"/>
    <x v="7"/>
    <x v="0"/>
    <x v="17"/>
    <n v="0"/>
    <n v="0"/>
  </r>
  <r>
    <x v="14"/>
    <s v="Snack"/>
    <s v="S03"/>
    <n v="50"/>
    <n v="70"/>
    <n v="3"/>
    <n v="3"/>
    <n v="0"/>
    <x v="7"/>
    <x v="0"/>
    <x v="17"/>
    <n v="0"/>
    <n v="0"/>
  </r>
  <r>
    <x v="15"/>
    <s v="Snack"/>
    <s v="S04"/>
    <n v="10"/>
    <n v="15"/>
    <n v="3"/>
    <n v="0"/>
    <n v="3"/>
    <x v="7"/>
    <x v="0"/>
    <x v="61"/>
    <n v="15"/>
    <n v="1"/>
  </r>
  <r>
    <x v="16"/>
    <s v="Snack"/>
    <s v="S05"/>
    <n v="20"/>
    <n v="25"/>
    <n v="2"/>
    <n v="0"/>
    <n v="2"/>
    <x v="7"/>
    <x v="0"/>
    <x v="41"/>
    <n v="10"/>
    <n v="1"/>
  </r>
  <r>
    <x v="17"/>
    <s v="Bread Item"/>
    <s v="B01"/>
    <n v="25"/>
    <n v="30"/>
    <n v="18"/>
    <n v="16"/>
    <n v="2"/>
    <x v="7"/>
    <x v="0"/>
    <x v="42"/>
    <n v="10"/>
    <n v="0.1111111111111111"/>
  </r>
  <r>
    <x v="18"/>
    <s v="Bread Item"/>
    <s v="B02"/>
    <n v="25"/>
    <n v="30"/>
    <n v="10"/>
    <n v="10"/>
    <n v="0"/>
    <x v="7"/>
    <x v="0"/>
    <x v="17"/>
    <n v="0"/>
    <n v="0"/>
  </r>
  <r>
    <x v="19"/>
    <s v="Bread Item"/>
    <s v="B03"/>
    <n v="25"/>
    <n v="30"/>
    <n v="11"/>
    <n v="10"/>
    <n v="1"/>
    <x v="7"/>
    <x v="0"/>
    <x v="32"/>
    <n v="5"/>
    <n v="9.0909090909090912E-2"/>
  </r>
  <r>
    <x v="20"/>
    <s v="Bread Item"/>
    <s v="B04"/>
    <n v="30"/>
    <n v="35"/>
    <n v="7"/>
    <n v="5"/>
    <n v="2"/>
    <x v="7"/>
    <x v="0"/>
    <x v="20"/>
    <n v="10"/>
    <n v="0.2857142857142857"/>
  </r>
  <r>
    <x v="0"/>
    <s v="Fresh Cream"/>
    <s v="F01"/>
    <n v="100"/>
    <n v="200"/>
    <n v="3"/>
    <n v="3"/>
    <n v="0"/>
    <x v="8"/>
    <x v="1"/>
    <x v="17"/>
    <n v="0"/>
    <n v="0"/>
  </r>
  <r>
    <x v="1"/>
    <s v="Fresh Cream"/>
    <s v="F02"/>
    <n v="200"/>
    <n v="300"/>
    <n v="0"/>
    <n v="0"/>
    <n v="0"/>
    <x v="8"/>
    <x v="1"/>
    <x v="17"/>
    <n v="0"/>
    <n v="0"/>
  </r>
  <r>
    <x v="2"/>
    <s v="Fresh Cream"/>
    <s v="F03"/>
    <n v="150"/>
    <n v="250"/>
    <n v="1"/>
    <n v="1"/>
    <n v="0"/>
    <x v="8"/>
    <x v="1"/>
    <x v="17"/>
    <n v="0"/>
    <n v="0"/>
  </r>
  <r>
    <x v="3"/>
    <s v="Fresh Cream"/>
    <s v="F04"/>
    <n v="100"/>
    <n v="200"/>
    <n v="0"/>
    <n v="0"/>
    <n v="0"/>
    <x v="8"/>
    <x v="1"/>
    <x v="17"/>
    <n v="0"/>
    <n v="0"/>
  </r>
  <r>
    <x v="0"/>
    <s v="Rich Cream"/>
    <s v="R01"/>
    <n v="250"/>
    <n v="350"/>
    <n v="2"/>
    <n v="2"/>
    <n v="0"/>
    <x v="8"/>
    <x v="1"/>
    <x v="17"/>
    <n v="0"/>
    <n v="0"/>
  </r>
  <r>
    <x v="1"/>
    <s v="Rich Cream"/>
    <s v="R02"/>
    <n v="300"/>
    <n v="400"/>
    <n v="1"/>
    <n v="1"/>
    <n v="0"/>
    <x v="8"/>
    <x v="1"/>
    <x v="17"/>
    <n v="0"/>
    <n v="0"/>
  </r>
  <r>
    <x v="2"/>
    <s v="Rich Cream"/>
    <s v="R03"/>
    <n v="250"/>
    <n v="350"/>
    <n v="1"/>
    <n v="0"/>
    <n v="1"/>
    <x v="8"/>
    <x v="1"/>
    <x v="7"/>
    <n v="100"/>
    <n v="1"/>
  </r>
  <r>
    <x v="3"/>
    <s v="Rich Cream"/>
    <s v="R04"/>
    <n v="250"/>
    <n v="350"/>
    <n v="0"/>
    <n v="0"/>
    <n v="0"/>
    <x v="8"/>
    <x v="1"/>
    <x v="17"/>
    <n v="0"/>
    <n v="0"/>
  </r>
  <r>
    <x v="4"/>
    <s v="Rich Cream"/>
    <s v="R05"/>
    <n v="300"/>
    <n v="450"/>
    <n v="1"/>
    <n v="0"/>
    <n v="1"/>
    <x v="8"/>
    <x v="1"/>
    <x v="8"/>
    <n v="150"/>
    <n v="1"/>
  </r>
  <r>
    <x v="5"/>
    <s v="Dry Cake"/>
    <s v="D01"/>
    <n v="320"/>
    <n v="400"/>
    <n v="0"/>
    <n v="0"/>
    <n v="0"/>
    <x v="8"/>
    <x v="1"/>
    <x v="17"/>
    <n v="0"/>
    <n v="0"/>
  </r>
  <r>
    <x v="6"/>
    <s v="Dry Cake"/>
    <s v="D02"/>
    <n v="100"/>
    <n v="150"/>
    <n v="2"/>
    <n v="0"/>
    <n v="2"/>
    <x v="8"/>
    <x v="1"/>
    <x v="62"/>
    <n v="100"/>
    <n v="1"/>
  </r>
  <r>
    <x v="0"/>
    <s v="Pastry"/>
    <s v="P01"/>
    <n v="25"/>
    <n v="40"/>
    <n v="10"/>
    <n v="0"/>
    <n v="10"/>
    <x v="8"/>
    <x v="1"/>
    <x v="0"/>
    <n v="150"/>
    <n v="1"/>
  </r>
  <r>
    <x v="1"/>
    <s v="Pastry"/>
    <s v="P02"/>
    <n v="30"/>
    <n v="50"/>
    <n v="4"/>
    <n v="0"/>
    <n v="4"/>
    <x v="8"/>
    <x v="1"/>
    <x v="19"/>
    <n v="80"/>
    <n v="1"/>
  </r>
  <r>
    <x v="3"/>
    <s v="Pastry"/>
    <s v="P03"/>
    <n v="25"/>
    <n v="40"/>
    <n v="10"/>
    <n v="6"/>
    <n v="4"/>
    <x v="8"/>
    <x v="1"/>
    <x v="63"/>
    <n v="60"/>
    <n v="0.4"/>
  </r>
  <r>
    <x v="2"/>
    <s v="Pastry"/>
    <s v="P04"/>
    <n v="25"/>
    <n v="40"/>
    <n v="10"/>
    <n v="0"/>
    <n v="10"/>
    <x v="8"/>
    <x v="1"/>
    <x v="0"/>
    <n v="150"/>
    <n v="1"/>
  </r>
  <r>
    <x v="4"/>
    <s v="Pastry"/>
    <s v="P05"/>
    <n v="30"/>
    <n v="55"/>
    <n v="3"/>
    <n v="0"/>
    <n v="3"/>
    <x v="8"/>
    <x v="1"/>
    <x v="40"/>
    <n v="75"/>
    <n v="1"/>
  </r>
  <r>
    <x v="7"/>
    <s v="Pastry"/>
    <s v="P06"/>
    <n v="40"/>
    <n v="65"/>
    <n v="6"/>
    <n v="2"/>
    <n v="4"/>
    <x v="8"/>
    <x v="1"/>
    <x v="56"/>
    <n v="100"/>
    <n v="0.66666666666666663"/>
  </r>
  <r>
    <x v="8"/>
    <s v="Pastry"/>
    <s v="P07"/>
    <n v="50"/>
    <n v="70"/>
    <n v="0"/>
    <n v="0"/>
    <n v="0"/>
    <x v="8"/>
    <x v="1"/>
    <x v="17"/>
    <n v="0"/>
    <n v="0"/>
  </r>
  <r>
    <x v="9"/>
    <s v="Pastry"/>
    <s v="P08"/>
    <n v="20"/>
    <n v="30"/>
    <n v="0"/>
    <n v="0"/>
    <n v="0"/>
    <x v="8"/>
    <x v="1"/>
    <x v="17"/>
    <n v="0"/>
    <n v="0"/>
  </r>
  <r>
    <x v="10"/>
    <s v="Pastry"/>
    <s v="P09"/>
    <n v="10"/>
    <n v="20"/>
    <n v="4"/>
    <n v="0"/>
    <n v="4"/>
    <x v="8"/>
    <x v="1"/>
    <x v="44"/>
    <n v="40"/>
    <n v="1"/>
  </r>
  <r>
    <x v="11"/>
    <s v="Pastry"/>
    <s v="P10"/>
    <n v="60"/>
    <n v="100"/>
    <n v="6"/>
    <n v="6"/>
    <n v="0"/>
    <x v="8"/>
    <x v="1"/>
    <x v="17"/>
    <n v="0"/>
    <n v="0"/>
  </r>
  <r>
    <x v="12"/>
    <s v="Snack"/>
    <s v="S01"/>
    <n v="50"/>
    <n v="70"/>
    <n v="0"/>
    <n v="0"/>
    <n v="0"/>
    <x v="8"/>
    <x v="1"/>
    <x v="17"/>
    <n v="0"/>
    <n v="0"/>
  </r>
  <r>
    <x v="13"/>
    <s v="Snack"/>
    <s v="S02"/>
    <n v="45"/>
    <n v="65"/>
    <n v="4"/>
    <n v="4"/>
    <n v="0"/>
    <x v="8"/>
    <x v="1"/>
    <x v="17"/>
    <n v="0"/>
    <n v="0"/>
  </r>
  <r>
    <x v="14"/>
    <s v="Snack"/>
    <s v="S03"/>
    <n v="50"/>
    <n v="70"/>
    <n v="3"/>
    <n v="3"/>
    <n v="0"/>
    <x v="8"/>
    <x v="1"/>
    <x v="17"/>
    <n v="0"/>
    <n v="0"/>
  </r>
  <r>
    <x v="15"/>
    <s v="Snack"/>
    <s v="S04"/>
    <n v="10"/>
    <n v="15"/>
    <n v="10"/>
    <n v="0"/>
    <n v="10"/>
    <x v="8"/>
    <x v="1"/>
    <x v="22"/>
    <n v="50"/>
    <n v="1"/>
  </r>
  <r>
    <x v="16"/>
    <s v="Snack"/>
    <s v="S05"/>
    <n v="20"/>
    <n v="25"/>
    <n v="10"/>
    <n v="0"/>
    <n v="10"/>
    <x v="8"/>
    <x v="1"/>
    <x v="26"/>
    <n v="50"/>
    <n v="1"/>
  </r>
  <r>
    <x v="17"/>
    <s v="Bread Item"/>
    <s v="B01"/>
    <n v="25"/>
    <n v="30"/>
    <n v="16"/>
    <n v="13"/>
    <n v="3"/>
    <x v="8"/>
    <x v="1"/>
    <x v="38"/>
    <n v="15"/>
    <n v="0.1875"/>
  </r>
  <r>
    <x v="18"/>
    <s v="Bread Item"/>
    <s v="B02"/>
    <n v="25"/>
    <n v="30"/>
    <n v="10"/>
    <n v="9"/>
    <n v="1"/>
    <x v="8"/>
    <x v="1"/>
    <x v="32"/>
    <n v="5"/>
    <n v="0.1"/>
  </r>
  <r>
    <x v="19"/>
    <s v="Bread Item"/>
    <s v="B03"/>
    <n v="25"/>
    <n v="30"/>
    <n v="10"/>
    <n v="5"/>
    <n v="5"/>
    <x v="8"/>
    <x v="1"/>
    <x v="22"/>
    <n v="25"/>
    <n v="0.5"/>
  </r>
  <r>
    <x v="20"/>
    <s v="Bread Item"/>
    <s v="B04"/>
    <n v="30"/>
    <n v="35"/>
    <n v="5"/>
    <n v="0"/>
    <n v="5"/>
    <x v="8"/>
    <x v="1"/>
    <x v="64"/>
    <n v="25"/>
    <n v="1"/>
  </r>
  <r>
    <x v="0"/>
    <s v="Fresh Cream"/>
    <s v="F01"/>
    <n v="100"/>
    <n v="200"/>
    <n v="6"/>
    <n v="4"/>
    <n v="2"/>
    <x v="9"/>
    <x v="3"/>
    <x v="0"/>
    <n v="200"/>
    <n v="0.33333333333333331"/>
  </r>
  <r>
    <x v="1"/>
    <s v="Fresh Cream"/>
    <s v="F02"/>
    <n v="200"/>
    <n v="300"/>
    <n v="2"/>
    <n v="1"/>
    <n v="1"/>
    <x v="9"/>
    <x v="3"/>
    <x v="62"/>
    <n v="100"/>
    <n v="0.5"/>
  </r>
  <r>
    <x v="2"/>
    <s v="Fresh Cream"/>
    <s v="F03"/>
    <n v="150"/>
    <n v="250"/>
    <n v="2"/>
    <n v="1"/>
    <n v="1"/>
    <x v="9"/>
    <x v="3"/>
    <x v="26"/>
    <n v="100"/>
    <n v="0.5"/>
  </r>
  <r>
    <x v="3"/>
    <s v="Fresh Cream"/>
    <s v="F04"/>
    <n v="100"/>
    <n v="200"/>
    <n v="2"/>
    <n v="0"/>
    <n v="2"/>
    <x v="9"/>
    <x v="3"/>
    <x v="0"/>
    <n v="200"/>
    <n v="1"/>
  </r>
  <r>
    <x v="0"/>
    <s v="Rich Cream"/>
    <s v="R01"/>
    <n v="250"/>
    <n v="350"/>
    <n v="2"/>
    <n v="2"/>
    <n v="0"/>
    <x v="9"/>
    <x v="3"/>
    <x v="17"/>
    <n v="0"/>
    <n v="0"/>
  </r>
  <r>
    <x v="1"/>
    <s v="Rich Cream"/>
    <s v="R02"/>
    <n v="300"/>
    <n v="400"/>
    <n v="1"/>
    <n v="1"/>
    <n v="0"/>
    <x v="9"/>
    <x v="3"/>
    <x v="17"/>
    <n v="0"/>
    <n v="0"/>
  </r>
  <r>
    <x v="2"/>
    <s v="Rich Cream"/>
    <s v="R03"/>
    <n v="250"/>
    <n v="350"/>
    <n v="2"/>
    <n v="1"/>
    <n v="1"/>
    <x v="9"/>
    <x v="3"/>
    <x v="7"/>
    <n v="100"/>
    <n v="0.5"/>
  </r>
  <r>
    <x v="3"/>
    <s v="Rich Cream"/>
    <s v="R04"/>
    <n v="250"/>
    <n v="350"/>
    <n v="1"/>
    <n v="1"/>
    <n v="0"/>
    <x v="9"/>
    <x v="3"/>
    <x v="17"/>
    <n v="0"/>
    <n v="0"/>
  </r>
  <r>
    <x v="4"/>
    <s v="Rich Cream"/>
    <s v="R05"/>
    <n v="300"/>
    <n v="450"/>
    <n v="1"/>
    <n v="1"/>
    <n v="0"/>
    <x v="9"/>
    <x v="3"/>
    <x v="17"/>
    <n v="0"/>
    <n v="0"/>
  </r>
  <r>
    <x v="5"/>
    <s v="Dry Cake"/>
    <s v="D01"/>
    <n v="320"/>
    <n v="400"/>
    <n v="0"/>
    <n v="0"/>
    <n v="0"/>
    <x v="9"/>
    <x v="3"/>
    <x v="17"/>
    <n v="0"/>
    <n v="0"/>
  </r>
  <r>
    <x v="6"/>
    <s v="Dry Cake"/>
    <s v="D02"/>
    <n v="100"/>
    <n v="150"/>
    <n v="0"/>
    <n v="0"/>
    <n v="0"/>
    <x v="9"/>
    <x v="3"/>
    <x v="17"/>
    <n v="0"/>
    <n v="0"/>
  </r>
  <r>
    <x v="0"/>
    <s v="Pastry"/>
    <s v="P01"/>
    <n v="25"/>
    <n v="40"/>
    <n v="10"/>
    <n v="3"/>
    <n v="7"/>
    <x v="9"/>
    <x v="3"/>
    <x v="29"/>
    <n v="105"/>
    <n v="0.7"/>
  </r>
  <r>
    <x v="1"/>
    <s v="Pastry"/>
    <s v="P02"/>
    <n v="30"/>
    <n v="50"/>
    <n v="0"/>
    <n v="0"/>
    <n v="0"/>
    <x v="9"/>
    <x v="3"/>
    <x v="17"/>
    <n v="0"/>
    <n v="0"/>
  </r>
  <r>
    <x v="3"/>
    <s v="Pastry"/>
    <s v="P03"/>
    <n v="25"/>
    <n v="40"/>
    <n v="16"/>
    <n v="15"/>
    <n v="1"/>
    <x v="9"/>
    <x v="3"/>
    <x v="35"/>
    <n v="15"/>
    <n v="6.25E-2"/>
  </r>
  <r>
    <x v="2"/>
    <s v="Pastry"/>
    <s v="P04"/>
    <n v="25"/>
    <n v="40"/>
    <n v="11"/>
    <n v="5"/>
    <n v="6"/>
    <x v="9"/>
    <x v="3"/>
    <x v="47"/>
    <n v="90"/>
    <n v="0.54545454545454541"/>
  </r>
  <r>
    <x v="4"/>
    <s v="Pastry"/>
    <s v="P05"/>
    <n v="30"/>
    <n v="55"/>
    <n v="0"/>
    <n v="0"/>
    <n v="0"/>
    <x v="9"/>
    <x v="3"/>
    <x v="17"/>
    <n v="0"/>
    <n v="0"/>
  </r>
  <r>
    <x v="7"/>
    <s v="Pastry"/>
    <s v="P06"/>
    <n v="40"/>
    <n v="65"/>
    <n v="22"/>
    <n v="19"/>
    <n v="3"/>
    <x v="9"/>
    <x v="3"/>
    <x v="65"/>
    <n v="75"/>
    <n v="0.13636363636363635"/>
  </r>
  <r>
    <x v="8"/>
    <s v="Pastry"/>
    <s v="P07"/>
    <n v="50"/>
    <n v="70"/>
    <n v="0"/>
    <n v="0"/>
    <n v="0"/>
    <x v="9"/>
    <x v="3"/>
    <x v="17"/>
    <n v="0"/>
    <n v="0"/>
  </r>
  <r>
    <x v="9"/>
    <s v="Pastry"/>
    <s v="P08"/>
    <n v="20"/>
    <n v="30"/>
    <n v="0"/>
    <n v="0"/>
    <n v="0"/>
    <x v="9"/>
    <x v="3"/>
    <x v="17"/>
    <n v="0"/>
    <n v="0"/>
  </r>
  <r>
    <x v="10"/>
    <s v="Pastry"/>
    <s v="P09"/>
    <n v="10"/>
    <n v="20"/>
    <n v="0"/>
    <n v="0"/>
    <n v="0"/>
    <x v="9"/>
    <x v="3"/>
    <x v="17"/>
    <n v="0"/>
    <n v="0"/>
  </r>
  <r>
    <x v="11"/>
    <s v="Pastry"/>
    <s v="P10"/>
    <n v="60"/>
    <n v="100"/>
    <n v="6"/>
    <n v="4"/>
    <n v="2"/>
    <x v="9"/>
    <x v="3"/>
    <x v="19"/>
    <n v="80"/>
    <n v="0.33333333333333331"/>
  </r>
  <r>
    <x v="12"/>
    <s v="Snack"/>
    <s v="S01"/>
    <n v="50"/>
    <n v="70"/>
    <n v="4"/>
    <n v="0"/>
    <n v="4"/>
    <x v="9"/>
    <x v="3"/>
    <x v="29"/>
    <n v="80"/>
    <n v="1"/>
  </r>
  <r>
    <x v="13"/>
    <s v="Snack"/>
    <s v="S02"/>
    <n v="45"/>
    <n v="65"/>
    <n v="4"/>
    <n v="4"/>
    <n v="0"/>
    <x v="9"/>
    <x v="3"/>
    <x v="17"/>
    <n v="0"/>
    <n v="0"/>
  </r>
  <r>
    <x v="14"/>
    <s v="Snack"/>
    <s v="S03"/>
    <n v="50"/>
    <n v="70"/>
    <n v="3"/>
    <n v="0"/>
    <n v="3"/>
    <x v="9"/>
    <x v="3"/>
    <x v="24"/>
    <n v="60"/>
    <n v="1"/>
  </r>
  <r>
    <x v="15"/>
    <s v="Snack"/>
    <s v="S04"/>
    <n v="10"/>
    <n v="15"/>
    <n v="0"/>
    <n v="0"/>
    <n v="0"/>
    <x v="9"/>
    <x v="3"/>
    <x v="17"/>
    <n v="0"/>
    <n v="0"/>
  </r>
  <r>
    <x v="16"/>
    <s v="Snack"/>
    <s v="S05"/>
    <n v="20"/>
    <n v="25"/>
    <n v="0"/>
    <n v="0"/>
    <n v="0"/>
    <x v="9"/>
    <x v="3"/>
    <x v="17"/>
    <n v="0"/>
    <n v="0"/>
  </r>
  <r>
    <x v="17"/>
    <s v="Bread Item"/>
    <s v="B01"/>
    <n v="25"/>
    <n v="30"/>
    <n v="13"/>
    <n v="9"/>
    <n v="4"/>
    <x v="9"/>
    <x v="3"/>
    <x v="28"/>
    <n v="20"/>
    <n v="0.30769230769230771"/>
  </r>
  <r>
    <x v="18"/>
    <s v="Bread Item"/>
    <s v="B02"/>
    <n v="25"/>
    <n v="30"/>
    <n v="9"/>
    <n v="6"/>
    <n v="3"/>
    <x v="9"/>
    <x v="3"/>
    <x v="38"/>
    <n v="15"/>
    <n v="0.33333333333333331"/>
  </r>
  <r>
    <x v="19"/>
    <s v="Bread Item"/>
    <s v="B03"/>
    <n v="25"/>
    <n v="30"/>
    <n v="5"/>
    <n v="5"/>
    <n v="0"/>
    <x v="9"/>
    <x v="3"/>
    <x v="17"/>
    <n v="0"/>
    <n v="0"/>
  </r>
  <r>
    <x v="20"/>
    <s v="Bread Item"/>
    <s v="B04"/>
    <n v="30"/>
    <n v="35"/>
    <n v="0"/>
    <n v="0"/>
    <n v="0"/>
    <x v="9"/>
    <x v="3"/>
    <x v="17"/>
    <n v="0"/>
    <n v="0"/>
  </r>
  <r>
    <x v="0"/>
    <s v="Fresh Cream"/>
    <s v="F01"/>
    <n v="100"/>
    <n v="200"/>
    <n v="6"/>
    <n v="2"/>
    <n v="4"/>
    <x v="10"/>
    <x v="4"/>
    <x v="53"/>
    <n v="400"/>
    <n v="0.66666666666666663"/>
  </r>
  <r>
    <x v="1"/>
    <s v="Fresh Cream"/>
    <s v="F02"/>
    <n v="200"/>
    <n v="300"/>
    <n v="3"/>
    <n v="2"/>
    <n v="1"/>
    <x v="10"/>
    <x v="4"/>
    <x v="62"/>
    <n v="100"/>
    <n v="0.33333333333333331"/>
  </r>
  <r>
    <x v="2"/>
    <s v="Fresh Cream"/>
    <s v="F03"/>
    <n v="150"/>
    <n v="250"/>
    <n v="3"/>
    <n v="2"/>
    <n v="1"/>
    <x v="10"/>
    <x v="4"/>
    <x v="26"/>
    <n v="100"/>
    <n v="0.33333333333333331"/>
  </r>
  <r>
    <x v="3"/>
    <s v="Fresh Cream"/>
    <s v="F04"/>
    <n v="100"/>
    <n v="200"/>
    <n v="2"/>
    <n v="2"/>
    <n v="0"/>
    <x v="10"/>
    <x v="4"/>
    <x v="17"/>
    <n v="0"/>
    <n v="0"/>
  </r>
  <r>
    <x v="0"/>
    <s v="Rich Cream"/>
    <s v="R01"/>
    <n v="250"/>
    <n v="350"/>
    <n v="3"/>
    <n v="2"/>
    <n v="1"/>
    <x v="10"/>
    <x v="4"/>
    <x v="7"/>
    <n v="100"/>
    <n v="0.33333333333333331"/>
  </r>
  <r>
    <x v="1"/>
    <s v="Rich Cream"/>
    <s v="R02"/>
    <n v="300"/>
    <n v="400"/>
    <n v="1"/>
    <n v="0"/>
    <n v="1"/>
    <x v="10"/>
    <x v="4"/>
    <x v="0"/>
    <n v="100"/>
    <n v="1"/>
  </r>
  <r>
    <x v="2"/>
    <s v="Rich Cream"/>
    <s v="R03"/>
    <n v="250"/>
    <n v="350"/>
    <n v="3"/>
    <n v="2"/>
    <n v="1"/>
    <x v="10"/>
    <x v="4"/>
    <x v="7"/>
    <n v="100"/>
    <n v="0.33333333333333331"/>
  </r>
  <r>
    <x v="3"/>
    <s v="Rich Cream"/>
    <s v="R04"/>
    <n v="250"/>
    <n v="350"/>
    <n v="1"/>
    <n v="1"/>
    <n v="0"/>
    <x v="10"/>
    <x v="4"/>
    <x v="17"/>
    <n v="0"/>
    <n v="0"/>
  </r>
  <r>
    <x v="4"/>
    <s v="Rich Cream"/>
    <s v="R05"/>
    <n v="300"/>
    <n v="450"/>
    <n v="2"/>
    <n v="1"/>
    <n v="1"/>
    <x v="10"/>
    <x v="4"/>
    <x v="8"/>
    <n v="150"/>
    <n v="0.5"/>
  </r>
  <r>
    <x v="5"/>
    <s v="Dry Cake"/>
    <s v="D01"/>
    <n v="320"/>
    <n v="400"/>
    <n v="0"/>
    <n v="0"/>
    <n v="0"/>
    <x v="10"/>
    <x v="4"/>
    <x v="17"/>
    <n v="0"/>
    <n v="0"/>
  </r>
  <r>
    <x v="6"/>
    <s v="Dry Cake"/>
    <s v="D02"/>
    <n v="100"/>
    <n v="150"/>
    <n v="6"/>
    <n v="5"/>
    <n v="1"/>
    <x v="10"/>
    <x v="4"/>
    <x v="22"/>
    <n v="50"/>
    <n v="0.16666666666666666"/>
  </r>
  <r>
    <x v="0"/>
    <s v="Pastry"/>
    <s v="P01"/>
    <n v="25"/>
    <n v="40"/>
    <n v="19"/>
    <n v="1"/>
    <n v="18"/>
    <x v="10"/>
    <x v="4"/>
    <x v="66"/>
    <n v="270"/>
    <n v="0.94736842105263153"/>
  </r>
  <r>
    <x v="1"/>
    <s v="Pastry"/>
    <s v="P02"/>
    <n v="30"/>
    <n v="50"/>
    <n v="8"/>
    <n v="8"/>
    <n v="0"/>
    <x v="10"/>
    <x v="4"/>
    <x v="17"/>
    <n v="0"/>
    <n v="0"/>
  </r>
  <r>
    <x v="3"/>
    <s v="Pastry"/>
    <s v="P03"/>
    <n v="25"/>
    <n v="40"/>
    <n v="15"/>
    <n v="12"/>
    <n v="3"/>
    <x v="10"/>
    <x v="4"/>
    <x v="28"/>
    <n v="45"/>
    <n v="0.2"/>
  </r>
  <r>
    <x v="2"/>
    <s v="Pastry"/>
    <s v="P04"/>
    <n v="25"/>
    <n v="40"/>
    <n v="20"/>
    <n v="11"/>
    <n v="9"/>
    <x v="10"/>
    <x v="4"/>
    <x v="23"/>
    <n v="135"/>
    <n v="0.45"/>
  </r>
  <r>
    <x v="4"/>
    <s v="Pastry"/>
    <s v="P05"/>
    <n v="30"/>
    <n v="55"/>
    <n v="8"/>
    <n v="8"/>
    <n v="0"/>
    <x v="10"/>
    <x v="4"/>
    <x v="17"/>
    <n v="0"/>
    <n v="0"/>
  </r>
  <r>
    <x v="7"/>
    <s v="Pastry"/>
    <s v="P06"/>
    <n v="40"/>
    <n v="65"/>
    <n v="19"/>
    <n v="8"/>
    <n v="11"/>
    <x v="10"/>
    <x v="4"/>
    <x v="67"/>
    <n v="275"/>
    <n v="0.57894736842105265"/>
  </r>
  <r>
    <x v="8"/>
    <s v="Pastry"/>
    <s v="P07"/>
    <n v="50"/>
    <n v="70"/>
    <n v="0"/>
    <n v="0"/>
    <n v="0"/>
    <x v="10"/>
    <x v="4"/>
    <x v="17"/>
    <n v="0"/>
    <n v="0"/>
  </r>
  <r>
    <x v="9"/>
    <s v="Pastry"/>
    <s v="P08"/>
    <n v="20"/>
    <n v="30"/>
    <n v="22"/>
    <n v="20"/>
    <n v="2"/>
    <x v="10"/>
    <x v="4"/>
    <x v="42"/>
    <n v="20"/>
    <n v="9.0909090909090912E-2"/>
  </r>
  <r>
    <x v="10"/>
    <s v="Pastry"/>
    <s v="P09"/>
    <n v="10"/>
    <n v="20"/>
    <n v="11"/>
    <n v="11"/>
    <n v="0"/>
    <x v="10"/>
    <x v="4"/>
    <x v="17"/>
    <n v="0"/>
    <n v="0"/>
  </r>
  <r>
    <x v="11"/>
    <s v="Pastry"/>
    <s v="P10"/>
    <n v="60"/>
    <n v="100"/>
    <n v="4"/>
    <n v="4"/>
    <n v="0"/>
    <x v="10"/>
    <x v="4"/>
    <x v="17"/>
    <n v="0"/>
    <n v="0"/>
  </r>
  <r>
    <x v="12"/>
    <s v="Snack"/>
    <s v="S01"/>
    <n v="50"/>
    <n v="70"/>
    <n v="4"/>
    <n v="0"/>
    <n v="4"/>
    <x v="10"/>
    <x v="4"/>
    <x v="29"/>
    <n v="80"/>
    <n v="1"/>
  </r>
  <r>
    <x v="13"/>
    <s v="Snack"/>
    <s v="S02"/>
    <n v="45"/>
    <n v="65"/>
    <n v="4"/>
    <n v="4"/>
    <n v="0"/>
    <x v="10"/>
    <x v="4"/>
    <x v="17"/>
    <n v="0"/>
    <n v="0"/>
  </r>
  <r>
    <x v="14"/>
    <s v="Snack"/>
    <s v="S03"/>
    <n v="50"/>
    <n v="70"/>
    <n v="0"/>
    <n v="0"/>
    <n v="0"/>
    <x v="10"/>
    <x v="4"/>
    <x v="17"/>
    <n v="0"/>
    <n v="0"/>
  </r>
  <r>
    <x v="15"/>
    <s v="Snack"/>
    <s v="S04"/>
    <n v="10"/>
    <n v="15"/>
    <n v="10"/>
    <n v="5"/>
    <n v="5"/>
    <x v="10"/>
    <x v="4"/>
    <x v="49"/>
    <n v="25"/>
    <n v="0.5"/>
  </r>
  <r>
    <x v="16"/>
    <s v="Snack"/>
    <s v="S05"/>
    <n v="20"/>
    <n v="25"/>
    <n v="5"/>
    <n v="2"/>
    <n v="3"/>
    <x v="10"/>
    <x v="4"/>
    <x v="49"/>
    <n v="15"/>
    <n v="0.6"/>
  </r>
  <r>
    <x v="17"/>
    <s v="Bread Item"/>
    <s v="B01"/>
    <n v="25"/>
    <n v="30"/>
    <n v="9"/>
    <n v="6"/>
    <n v="3"/>
    <x v="10"/>
    <x v="4"/>
    <x v="38"/>
    <n v="15"/>
    <n v="0.33333333333333331"/>
  </r>
  <r>
    <x v="18"/>
    <s v="Bread Item"/>
    <s v="B02"/>
    <n v="25"/>
    <n v="30"/>
    <n v="6"/>
    <n v="4"/>
    <n v="2"/>
    <x v="10"/>
    <x v="4"/>
    <x v="42"/>
    <n v="10"/>
    <n v="0.33333333333333331"/>
  </r>
  <r>
    <x v="19"/>
    <s v="Bread Item"/>
    <s v="B03"/>
    <n v="25"/>
    <n v="30"/>
    <n v="5"/>
    <n v="5"/>
    <n v="0"/>
    <x v="10"/>
    <x v="4"/>
    <x v="17"/>
    <n v="0"/>
    <n v="0"/>
  </r>
  <r>
    <x v="20"/>
    <s v="Bread Item"/>
    <s v="B04"/>
    <n v="30"/>
    <n v="35"/>
    <n v="10"/>
    <n v="8"/>
    <n v="2"/>
    <x v="10"/>
    <x v="4"/>
    <x v="20"/>
    <n v="10"/>
    <n v="0.2"/>
  </r>
  <r>
    <x v="0"/>
    <s v="Fresh Cream"/>
    <s v="F01"/>
    <n v="100"/>
    <n v="200"/>
    <n v="2"/>
    <n v="0"/>
    <n v="2"/>
    <x v="11"/>
    <x v="5"/>
    <x v="0"/>
    <n v="200"/>
    <n v="1"/>
  </r>
  <r>
    <x v="1"/>
    <s v="Fresh Cream"/>
    <s v="F02"/>
    <n v="200"/>
    <n v="300"/>
    <n v="2"/>
    <n v="0"/>
    <n v="2"/>
    <x v="11"/>
    <x v="5"/>
    <x v="3"/>
    <n v="200"/>
    <n v="1"/>
  </r>
  <r>
    <x v="2"/>
    <s v="Fresh Cream"/>
    <s v="F03"/>
    <n v="150"/>
    <n v="250"/>
    <n v="2"/>
    <n v="0"/>
    <n v="2"/>
    <x v="11"/>
    <x v="5"/>
    <x v="12"/>
    <n v="200"/>
    <n v="1"/>
  </r>
  <r>
    <x v="3"/>
    <s v="Fresh Cream"/>
    <s v="F04"/>
    <n v="100"/>
    <n v="200"/>
    <n v="2"/>
    <n v="0"/>
    <n v="2"/>
    <x v="11"/>
    <x v="5"/>
    <x v="0"/>
    <n v="200"/>
    <n v="1"/>
  </r>
  <r>
    <x v="0"/>
    <s v="Rich Cream"/>
    <s v="R01"/>
    <n v="250"/>
    <n v="350"/>
    <n v="2"/>
    <n v="2"/>
    <n v="0"/>
    <x v="11"/>
    <x v="5"/>
    <x v="17"/>
    <n v="0"/>
    <n v="0"/>
  </r>
  <r>
    <x v="1"/>
    <s v="Rich Cream"/>
    <s v="R02"/>
    <n v="300"/>
    <n v="400"/>
    <n v="0"/>
    <n v="0"/>
    <n v="0"/>
    <x v="11"/>
    <x v="5"/>
    <x v="17"/>
    <n v="0"/>
    <n v="0"/>
  </r>
  <r>
    <x v="2"/>
    <s v="Rich Cream"/>
    <s v="R03"/>
    <n v="250"/>
    <n v="350"/>
    <n v="2"/>
    <n v="1"/>
    <n v="1"/>
    <x v="11"/>
    <x v="5"/>
    <x v="7"/>
    <n v="100"/>
    <n v="0.5"/>
  </r>
  <r>
    <x v="3"/>
    <s v="Rich Cream"/>
    <s v="R04"/>
    <n v="250"/>
    <n v="350"/>
    <n v="1"/>
    <n v="1"/>
    <n v="0"/>
    <x v="11"/>
    <x v="5"/>
    <x v="17"/>
    <n v="0"/>
    <n v="0"/>
  </r>
  <r>
    <x v="4"/>
    <s v="Rich Cream"/>
    <s v="R05"/>
    <n v="300"/>
    <n v="450"/>
    <n v="1"/>
    <n v="1"/>
    <n v="0"/>
    <x v="11"/>
    <x v="5"/>
    <x v="17"/>
    <n v="0"/>
    <n v="0"/>
  </r>
  <r>
    <x v="5"/>
    <s v="Dry Cake"/>
    <s v="D01"/>
    <n v="320"/>
    <n v="400"/>
    <n v="0"/>
    <n v="0"/>
    <n v="0"/>
    <x v="11"/>
    <x v="5"/>
    <x v="17"/>
    <n v="0"/>
    <n v="0"/>
  </r>
  <r>
    <x v="6"/>
    <s v="Dry Cake"/>
    <s v="D02"/>
    <n v="100"/>
    <n v="150"/>
    <n v="5"/>
    <n v="5"/>
    <n v="0"/>
    <x v="11"/>
    <x v="5"/>
    <x v="17"/>
    <n v="0"/>
    <n v="0"/>
  </r>
  <r>
    <x v="0"/>
    <s v="Pastry"/>
    <s v="P01"/>
    <n v="25"/>
    <n v="40"/>
    <n v="9"/>
    <n v="9"/>
    <n v="0"/>
    <x v="11"/>
    <x v="5"/>
    <x v="17"/>
    <n v="0"/>
    <n v="0"/>
  </r>
  <r>
    <x v="1"/>
    <s v="Pastry"/>
    <s v="P02"/>
    <n v="30"/>
    <n v="50"/>
    <n v="16"/>
    <n v="8"/>
    <n v="8"/>
    <x v="11"/>
    <x v="5"/>
    <x v="0"/>
    <n v="160"/>
    <n v="0.5"/>
  </r>
  <r>
    <x v="3"/>
    <s v="Pastry"/>
    <s v="P03"/>
    <n v="25"/>
    <n v="40"/>
    <n v="12"/>
    <n v="8"/>
    <n v="4"/>
    <x v="11"/>
    <x v="5"/>
    <x v="63"/>
    <n v="60"/>
    <n v="0.33333333333333331"/>
  </r>
  <r>
    <x v="2"/>
    <s v="Pastry"/>
    <s v="P04"/>
    <n v="25"/>
    <n v="40"/>
    <n v="27"/>
    <n v="13"/>
    <n v="14"/>
    <x v="11"/>
    <x v="5"/>
    <x v="68"/>
    <n v="210"/>
    <n v="0.51851851851851849"/>
  </r>
  <r>
    <x v="4"/>
    <s v="Pastry"/>
    <s v="P05"/>
    <n v="30"/>
    <n v="55"/>
    <n v="16"/>
    <n v="8"/>
    <n v="8"/>
    <x v="11"/>
    <x v="5"/>
    <x v="69"/>
    <n v="200"/>
    <n v="0.5"/>
  </r>
  <r>
    <x v="7"/>
    <s v="Pastry"/>
    <s v="P06"/>
    <n v="40"/>
    <n v="65"/>
    <n v="8"/>
    <n v="8"/>
    <n v="0"/>
    <x v="11"/>
    <x v="5"/>
    <x v="17"/>
    <n v="0"/>
    <n v="0"/>
  </r>
  <r>
    <x v="8"/>
    <s v="Pastry"/>
    <s v="P07"/>
    <n v="50"/>
    <n v="70"/>
    <n v="0"/>
    <n v="0"/>
    <n v="0"/>
    <x v="11"/>
    <x v="5"/>
    <x v="17"/>
    <n v="0"/>
    <n v="0"/>
  </r>
  <r>
    <x v="9"/>
    <s v="Pastry"/>
    <s v="P08"/>
    <n v="20"/>
    <n v="30"/>
    <n v="20"/>
    <n v="15"/>
    <n v="5"/>
    <x v="11"/>
    <x v="5"/>
    <x v="22"/>
    <n v="50"/>
    <n v="0.25"/>
  </r>
  <r>
    <x v="10"/>
    <s v="Pastry"/>
    <s v="P09"/>
    <n v="10"/>
    <n v="20"/>
    <n v="11"/>
    <n v="11"/>
    <n v="0"/>
    <x v="11"/>
    <x v="5"/>
    <x v="17"/>
    <n v="0"/>
    <n v="0"/>
  </r>
  <r>
    <x v="11"/>
    <s v="Pastry"/>
    <s v="P10"/>
    <n v="60"/>
    <n v="100"/>
    <n v="4"/>
    <n v="1"/>
    <n v="3"/>
    <x v="11"/>
    <x v="5"/>
    <x v="62"/>
    <n v="120"/>
    <n v="0.75"/>
  </r>
  <r>
    <x v="12"/>
    <s v="Snack"/>
    <s v="S01"/>
    <n v="50"/>
    <n v="70"/>
    <n v="4"/>
    <n v="2"/>
    <n v="2"/>
    <x v="11"/>
    <x v="5"/>
    <x v="25"/>
    <n v="40"/>
    <n v="0.5"/>
  </r>
  <r>
    <x v="13"/>
    <s v="Snack"/>
    <s v="S02"/>
    <n v="45"/>
    <n v="65"/>
    <n v="4"/>
    <n v="2"/>
    <n v="2"/>
    <x v="11"/>
    <x v="5"/>
    <x v="37"/>
    <n v="40"/>
    <n v="0.5"/>
  </r>
  <r>
    <x v="14"/>
    <s v="Snack"/>
    <s v="S03"/>
    <n v="50"/>
    <n v="70"/>
    <n v="0"/>
    <n v="0"/>
    <n v="0"/>
    <x v="11"/>
    <x v="5"/>
    <x v="17"/>
    <n v="0"/>
    <n v="0"/>
  </r>
  <r>
    <x v="15"/>
    <s v="Snack"/>
    <s v="S04"/>
    <n v="10"/>
    <n v="15"/>
    <n v="10"/>
    <n v="8"/>
    <n v="2"/>
    <x v="11"/>
    <x v="5"/>
    <x v="32"/>
    <n v="10"/>
    <n v="0.2"/>
  </r>
  <r>
    <x v="16"/>
    <s v="Snack"/>
    <s v="S05"/>
    <n v="20"/>
    <n v="25"/>
    <n v="7"/>
    <n v="5"/>
    <n v="2"/>
    <x v="11"/>
    <x v="5"/>
    <x v="41"/>
    <n v="10"/>
    <n v="0.2857142857142857"/>
  </r>
  <r>
    <x v="17"/>
    <s v="Bread Item"/>
    <s v="B01"/>
    <n v="25"/>
    <n v="30"/>
    <n v="6"/>
    <n v="0"/>
    <n v="6"/>
    <x v="11"/>
    <x v="5"/>
    <x v="34"/>
    <n v="30"/>
    <n v="1"/>
  </r>
  <r>
    <x v="18"/>
    <s v="Bread Item"/>
    <s v="B02"/>
    <n v="25"/>
    <n v="30"/>
    <n v="4"/>
    <n v="4"/>
    <n v="0"/>
    <x v="11"/>
    <x v="5"/>
    <x v="17"/>
    <n v="0"/>
    <n v="0"/>
  </r>
  <r>
    <x v="19"/>
    <s v="Bread Item"/>
    <s v="B03"/>
    <n v="25"/>
    <n v="30"/>
    <n v="5"/>
    <n v="2"/>
    <n v="3"/>
    <x v="11"/>
    <x v="5"/>
    <x v="38"/>
    <n v="15"/>
    <n v="0.6"/>
  </r>
  <r>
    <x v="20"/>
    <s v="Bread Item"/>
    <s v="B04"/>
    <n v="30"/>
    <n v="35"/>
    <n v="8"/>
    <n v="2"/>
    <n v="6"/>
    <x v="11"/>
    <x v="5"/>
    <x v="24"/>
    <n v="30"/>
    <n v="0.75"/>
  </r>
  <r>
    <x v="0"/>
    <s v="Fresh Cream"/>
    <s v="F01"/>
    <n v="100"/>
    <n v="200"/>
    <n v="3"/>
    <n v="2"/>
    <n v="1"/>
    <x v="12"/>
    <x v="6"/>
    <x v="19"/>
    <n v="100"/>
    <n v="0.33333333333333331"/>
  </r>
  <r>
    <x v="1"/>
    <s v="Fresh Cream"/>
    <s v="F02"/>
    <n v="200"/>
    <n v="300"/>
    <n v="2"/>
    <n v="1"/>
    <n v="1"/>
    <x v="12"/>
    <x v="6"/>
    <x v="62"/>
    <n v="100"/>
    <n v="0.5"/>
  </r>
  <r>
    <x v="2"/>
    <s v="Fresh Cream"/>
    <s v="F03"/>
    <n v="150"/>
    <n v="250"/>
    <n v="2"/>
    <n v="1"/>
    <n v="1"/>
    <x v="12"/>
    <x v="6"/>
    <x v="26"/>
    <n v="100"/>
    <n v="0.5"/>
  </r>
  <r>
    <x v="3"/>
    <s v="Fresh Cream"/>
    <s v="F04"/>
    <n v="100"/>
    <n v="200"/>
    <n v="3"/>
    <n v="2"/>
    <n v="1"/>
    <x v="12"/>
    <x v="6"/>
    <x v="19"/>
    <n v="100"/>
    <n v="0.33333333333333331"/>
  </r>
  <r>
    <x v="0"/>
    <s v="Rich Cream"/>
    <s v="R01"/>
    <n v="250"/>
    <n v="350"/>
    <n v="2"/>
    <n v="1"/>
    <n v="1"/>
    <x v="12"/>
    <x v="6"/>
    <x v="7"/>
    <n v="100"/>
    <n v="0.5"/>
  </r>
  <r>
    <x v="1"/>
    <s v="Rich Cream"/>
    <s v="R02"/>
    <n v="300"/>
    <n v="400"/>
    <n v="0"/>
    <n v="0"/>
    <n v="0"/>
    <x v="12"/>
    <x v="6"/>
    <x v="17"/>
    <n v="0"/>
    <n v="0"/>
  </r>
  <r>
    <x v="2"/>
    <s v="Rich Cream"/>
    <s v="R03"/>
    <n v="250"/>
    <n v="350"/>
    <n v="1"/>
    <n v="0"/>
    <n v="1"/>
    <x v="12"/>
    <x v="6"/>
    <x v="7"/>
    <n v="100"/>
    <n v="1"/>
  </r>
  <r>
    <x v="3"/>
    <s v="Rich Cream"/>
    <s v="R04"/>
    <n v="250"/>
    <n v="350"/>
    <n v="5"/>
    <n v="4"/>
    <n v="1"/>
    <x v="12"/>
    <x v="6"/>
    <x v="7"/>
    <n v="100"/>
    <n v="0.2"/>
  </r>
  <r>
    <x v="4"/>
    <s v="Rich Cream"/>
    <s v="R05"/>
    <n v="300"/>
    <n v="450"/>
    <n v="2"/>
    <n v="0"/>
    <n v="2"/>
    <x v="12"/>
    <x v="6"/>
    <x v="1"/>
    <n v="300"/>
    <n v="1"/>
  </r>
  <r>
    <x v="5"/>
    <s v="Dry Cake"/>
    <s v="D01"/>
    <n v="320"/>
    <n v="400"/>
    <n v="0"/>
    <n v="0"/>
    <n v="0"/>
    <x v="12"/>
    <x v="6"/>
    <x v="17"/>
    <n v="0"/>
    <n v="0"/>
  </r>
  <r>
    <x v="6"/>
    <s v="Dry Cake"/>
    <s v="D02"/>
    <n v="100"/>
    <n v="150"/>
    <n v="5"/>
    <n v="5"/>
    <n v="0"/>
    <x v="12"/>
    <x v="6"/>
    <x v="17"/>
    <n v="0"/>
    <n v="0"/>
  </r>
  <r>
    <x v="0"/>
    <s v="Pastry"/>
    <s v="P01"/>
    <n v="25"/>
    <n v="40"/>
    <n v="9"/>
    <n v="7"/>
    <n v="2"/>
    <x v="12"/>
    <x v="6"/>
    <x v="44"/>
    <n v="30"/>
    <n v="0.22222222222222221"/>
  </r>
  <r>
    <x v="1"/>
    <s v="Pastry"/>
    <s v="P02"/>
    <n v="30"/>
    <n v="50"/>
    <n v="16"/>
    <n v="4"/>
    <n v="12"/>
    <x v="12"/>
    <x v="6"/>
    <x v="3"/>
    <n v="240"/>
    <n v="0.75"/>
  </r>
  <r>
    <x v="3"/>
    <s v="Pastry"/>
    <s v="P03"/>
    <n v="25"/>
    <n v="40"/>
    <n v="16"/>
    <n v="6"/>
    <n v="10"/>
    <x v="12"/>
    <x v="6"/>
    <x v="0"/>
    <n v="150"/>
    <n v="0.625"/>
  </r>
  <r>
    <x v="2"/>
    <s v="Pastry"/>
    <s v="P04"/>
    <n v="25"/>
    <n v="40"/>
    <n v="21"/>
    <n v="9"/>
    <n v="12"/>
    <x v="12"/>
    <x v="6"/>
    <x v="13"/>
    <n v="180"/>
    <n v="0.5714285714285714"/>
  </r>
  <r>
    <x v="4"/>
    <s v="Pastry"/>
    <s v="P05"/>
    <n v="30"/>
    <n v="55"/>
    <n v="16"/>
    <n v="2"/>
    <n v="14"/>
    <x v="12"/>
    <x v="6"/>
    <x v="70"/>
    <n v="350"/>
    <n v="0.875"/>
  </r>
  <r>
    <x v="7"/>
    <s v="Pastry"/>
    <s v="P06"/>
    <n v="40"/>
    <n v="65"/>
    <n v="8"/>
    <n v="5"/>
    <n v="3"/>
    <x v="12"/>
    <x v="6"/>
    <x v="65"/>
    <n v="75"/>
    <n v="0.375"/>
  </r>
  <r>
    <x v="8"/>
    <s v="Pastry"/>
    <s v="P07"/>
    <n v="50"/>
    <n v="70"/>
    <n v="0"/>
    <n v="0"/>
    <n v="0"/>
    <x v="12"/>
    <x v="6"/>
    <x v="17"/>
    <n v="0"/>
    <n v="0"/>
  </r>
  <r>
    <x v="9"/>
    <s v="Pastry"/>
    <s v="P08"/>
    <n v="20"/>
    <n v="30"/>
    <n v="20"/>
    <n v="20"/>
    <n v="0"/>
    <x v="12"/>
    <x v="6"/>
    <x v="17"/>
    <n v="0"/>
    <n v="0"/>
  </r>
  <r>
    <x v="10"/>
    <s v="Pastry"/>
    <s v="P09"/>
    <n v="10"/>
    <n v="20"/>
    <n v="11"/>
    <n v="11"/>
    <n v="0"/>
    <x v="12"/>
    <x v="6"/>
    <x v="17"/>
    <n v="0"/>
    <n v="0"/>
  </r>
  <r>
    <x v="11"/>
    <s v="Pastry"/>
    <s v="P10"/>
    <n v="60"/>
    <n v="100"/>
    <n v="6"/>
    <n v="6"/>
    <n v="0"/>
    <x v="12"/>
    <x v="6"/>
    <x v="17"/>
    <n v="0"/>
    <n v="0"/>
  </r>
  <r>
    <x v="12"/>
    <s v="Snack"/>
    <s v="S01"/>
    <n v="50"/>
    <n v="70"/>
    <n v="6"/>
    <n v="5"/>
    <n v="1"/>
    <x v="12"/>
    <x v="6"/>
    <x v="20"/>
    <n v="20"/>
    <n v="0.16666666666666666"/>
  </r>
  <r>
    <x v="13"/>
    <s v="Snack"/>
    <s v="S02"/>
    <n v="45"/>
    <n v="65"/>
    <n v="2"/>
    <n v="1"/>
    <n v="1"/>
    <x v="12"/>
    <x v="6"/>
    <x v="71"/>
    <n v="20"/>
    <n v="0.5"/>
  </r>
  <r>
    <x v="14"/>
    <s v="Snack"/>
    <s v="S03"/>
    <n v="50"/>
    <n v="70"/>
    <n v="0"/>
    <n v="0"/>
    <n v="0"/>
    <x v="12"/>
    <x v="6"/>
    <x v="17"/>
    <n v="0"/>
    <n v="0"/>
  </r>
  <r>
    <x v="15"/>
    <s v="Snack"/>
    <s v="S04"/>
    <n v="10"/>
    <n v="15"/>
    <n v="12"/>
    <n v="10"/>
    <n v="2"/>
    <x v="12"/>
    <x v="6"/>
    <x v="32"/>
    <n v="10"/>
    <n v="0.16666666666666666"/>
  </r>
  <r>
    <x v="16"/>
    <s v="Snack"/>
    <s v="S05"/>
    <n v="20"/>
    <n v="25"/>
    <n v="5"/>
    <n v="4"/>
    <n v="1"/>
    <x v="12"/>
    <x v="6"/>
    <x v="39"/>
    <n v="5"/>
    <n v="0.2"/>
  </r>
  <r>
    <x v="17"/>
    <s v="Bread Item"/>
    <s v="B01"/>
    <n v="25"/>
    <n v="30"/>
    <n v="0"/>
    <n v="0"/>
    <n v="0"/>
    <x v="12"/>
    <x v="6"/>
    <x v="17"/>
    <n v="0"/>
    <n v="0"/>
  </r>
  <r>
    <x v="18"/>
    <s v="Bread Item"/>
    <s v="B02"/>
    <n v="25"/>
    <n v="30"/>
    <n v="4"/>
    <n v="2"/>
    <n v="2"/>
    <x v="12"/>
    <x v="6"/>
    <x v="42"/>
    <n v="10"/>
    <n v="0.5"/>
  </r>
  <r>
    <x v="19"/>
    <s v="Bread Item"/>
    <s v="B03"/>
    <n v="25"/>
    <n v="30"/>
    <n v="2"/>
    <n v="2"/>
    <n v="0"/>
    <x v="12"/>
    <x v="6"/>
    <x v="17"/>
    <n v="0"/>
    <n v="0"/>
  </r>
  <r>
    <x v="20"/>
    <s v="Bread Item"/>
    <s v="B04"/>
    <n v="30"/>
    <n v="35"/>
    <n v="2"/>
    <n v="1"/>
    <n v="1"/>
    <x v="12"/>
    <x v="6"/>
    <x v="72"/>
    <n v="5"/>
    <n v="0.5"/>
  </r>
  <r>
    <x v="0"/>
    <s v="Fresh Cream"/>
    <s v="F01"/>
    <n v="100"/>
    <n v="200"/>
    <n v="2"/>
    <n v="1"/>
    <n v="1"/>
    <x v="13"/>
    <x v="0"/>
    <x v="19"/>
    <n v="100"/>
    <n v="0.5"/>
  </r>
  <r>
    <x v="1"/>
    <s v="Fresh Cream"/>
    <s v="F02"/>
    <n v="200"/>
    <n v="300"/>
    <n v="3"/>
    <n v="2"/>
    <n v="1"/>
    <x v="13"/>
    <x v="0"/>
    <x v="62"/>
    <n v="100"/>
    <n v="0.33333333333333331"/>
  </r>
  <r>
    <x v="2"/>
    <s v="Fresh Cream"/>
    <s v="F03"/>
    <n v="150"/>
    <n v="250"/>
    <n v="3"/>
    <n v="1"/>
    <n v="2"/>
    <x v="13"/>
    <x v="0"/>
    <x v="12"/>
    <n v="200"/>
    <n v="0.66666666666666663"/>
  </r>
  <r>
    <x v="3"/>
    <s v="Fresh Cream"/>
    <s v="F04"/>
    <n v="100"/>
    <n v="200"/>
    <n v="3"/>
    <n v="3"/>
    <n v="0"/>
    <x v="13"/>
    <x v="0"/>
    <x v="17"/>
    <n v="0"/>
    <n v="0"/>
  </r>
  <r>
    <x v="0"/>
    <s v="Rich Cream"/>
    <s v="R01"/>
    <n v="250"/>
    <n v="350"/>
    <n v="3"/>
    <n v="2"/>
    <n v="1"/>
    <x v="13"/>
    <x v="0"/>
    <x v="7"/>
    <n v="100"/>
    <n v="0.33333333333333331"/>
  </r>
  <r>
    <x v="1"/>
    <s v="Rich Cream"/>
    <s v="R02"/>
    <n v="300"/>
    <n v="400"/>
    <n v="1"/>
    <n v="1"/>
    <n v="0"/>
    <x v="13"/>
    <x v="0"/>
    <x v="17"/>
    <n v="0"/>
    <n v="0"/>
  </r>
  <r>
    <x v="2"/>
    <s v="Rich Cream"/>
    <s v="R03"/>
    <n v="250"/>
    <n v="350"/>
    <n v="2"/>
    <n v="2"/>
    <n v="0"/>
    <x v="13"/>
    <x v="0"/>
    <x v="17"/>
    <n v="0"/>
    <n v="0"/>
  </r>
  <r>
    <x v="3"/>
    <s v="Rich Cream"/>
    <s v="R04"/>
    <n v="250"/>
    <n v="350"/>
    <n v="5"/>
    <n v="2"/>
    <n v="3"/>
    <x v="13"/>
    <x v="0"/>
    <x v="54"/>
    <n v="300"/>
    <n v="0.6"/>
  </r>
  <r>
    <x v="4"/>
    <s v="Rich Cream"/>
    <s v="R05"/>
    <n v="300"/>
    <n v="450"/>
    <n v="0"/>
    <n v="0"/>
    <n v="0"/>
    <x v="13"/>
    <x v="0"/>
    <x v="17"/>
    <n v="0"/>
    <n v="0"/>
  </r>
  <r>
    <x v="5"/>
    <s v="Dry Cake"/>
    <s v="D01"/>
    <n v="320"/>
    <n v="400"/>
    <n v="0"/>
    <n v="0"/>
    <n v="0"/>
    <x v="13"/>
    <x v="0"/>
    <x v="17"/>
    <n v="0"/>
    <n v="0"/>
  </r>
  <r>
    <x v="6"/>
    <s v="Dry Cake"/>
    <s v="D02"/>
    <n v="100"/>
    <n v="150"/>
    <n v="5"/>
    <n v="5"/>
    <n v="0"/>
    <x v="13"/>
    <x v="0"/>
    <x v="17"/>
    <n v="0"/>
    <n v="0"/>
  </r>
  <r>
    <x v="0"/>
    <s v="Pastry"/>
    <s v="P01"/>
    <n v="25"/>
    <n v="40"/>
    <n v="19"/>
    <n v="19"/>
    <n v="0"/>
    <x v="13"/>
    <x v="0"/>
    <x v="17"/>
    <n v="0"/>
    <n v="0"/>
  </r>
  <r>
    <x v="1"/>
    <s v="Pastry"/>
    <s v="P02"/>
    <n v="30"/>
    <n v="50"/>
    <n v="4"/>
    <n v="4"/>
    <n v="0"/>
    <x v="13"/>
    <x v="0"/>
    <x v="17"/>
    <n v="0"/>
    <n v="0"/>
  </r>
  <r>
    <x v="3"/>
    <s v="Pastry"/>
    <s v="P03"/>
    <n v="25"/>
    <n v="40"/>
    <n v="6"/>
    <n v="3"/>
    <n v="3"/>
    <x v="13"/>
    <x v="0"/>
    <x v="28"/>
    <n v="45"/>
    <n v="0.5"/>
  </r>
  <r>
    <x v="2"/>
    <s v="Pastry"/>
    <s v="P04"/>
    <n v="25"/>
    <n v="40"/>
    <n v="9"/>
    <n v="5"/>
    <n v="4"/>
    <x v="13"/>
    <x v="0"/>
    <x v="63"/>
    <n v="60"/>
    <n v="0.44444444444444442"/>
  </r>
  <r>
    <x v="4"/>
    <s v="Pastry"/>
    <s v="P05"/>
    <n v="30"/>
    <n v="55"/>
    <n v="2"/>
    <n v="2"/>
    <n v="0"/>
    <x v="13"/>
    <x v="0"/>
    <x v="17"/>
    <n v="0"/>
    <n v="0"/>
  </r>
  <r>
    <x v="7"/>
    <s v="Pastry"/>
    <s v="P06"/>
    <n v="40"/>
    <n v="65"/>
    <n v="15"/>
    <n v="14"/>
    <n v="1"/>
    <x v="13"/>
    <x v="0"/>
    <x v="71"/>
    <n v="25"/>
    <n v="6.6666666666666666E-2"/>
  </r>
  <r>
    <x v="8"/>
    <s v="Pastry"/>
    <s v="P07"/>
    <n v="50"/>
    <n v="70"/>
    <n v="0"/>
    <n v="0"/>
    <n v="0"/>
    <x v="13"/>
    <x v="0"/>
    <x v="17"/>
    <n v="0"/>
    <n v="0"/>
  </r>
  <r>
    <x v="9"/>
    <s v="Pastry"/>
    <s v="P08"/>
    <n v="20"/>
    <n v="30"/>
    <n v="20"/>
    <n v="15"/>
    <n v="5"/>
    <x v="13"/>
    <x v="0"/>
    <x v="22"/>
    <n v="50"/>
    <n v="0.25"/>
  </r>
  <r>
    <x v="10"/>
    <s v="Pastry"/>
    <s v="P09"/>
    <n v="10"/>
    <n v="20"/>
    <n v="11"/>
    <n v="8"/>
    <n v="3"/>
    <x v="13"/>
    <x v="0"/>
    <x v="42"/>
    <n v="30"/>
    <n v="0.27272727272727271"/>
  </r>
  <r>
    <x v="11"/>
    <s v="Pastry"/>
    <s v="P10"/>
    <n v="60"/>
    <n v="100"/>
    <n v="6"/>
    <n v="6"/>
    <n v="0"/>
    <x v="13"/>
    <x v="0"/>
    <x v="17"/>
    <n v="0"/>
    <n v="0"/>
  </r>
  <r>
    <x v="12"/>
    <s v="Snack"/>
    <s v="S01"/>
    <n v="50"/>
    <n v="70"/>
    <n v="5"/>
    <n v="4"/>
    <n v="1"/>
    <x v="13"/>
    <x v="0"/>
    <x v="20"/>
    <n v="20"/>
    <n v="0.2"/>
  </r>
  <r>
    <x v="13"/>
    <s v="Snack"/>
    <s v="S02"/>
    <n v="45"/>
    <n v="65"/>
    <n v="1"/>
    <n v="1"/>
    <n v="0"/>
    <x v="13"/>
    <x v="0"/>
    <x v="17"/>
    <n v="0"/>
    <n v="0"/>
  </r>
  <r>
    <x v="14"/>
    <s v="Snack"/>
    <s v="S03"/>
    <n v="50"/>
    <n v="70"/>
    <n v="0"/>
    <n v="0"/>
    <n v="0"/>
    <x v="13"/>
    <x v="0"/>
    <x v="17"/>
    <n v="0"/>
    <n v="0"/>
  </r>
  <r>
    <x v="15"/>
    <s v="Snack"/>
    <s v="S04"/>
    <n v="10"/>
    <n v="15"/>
    <n v="10"/>
    <n v="3"/>
    <n v="7"/>
    <x v="13"/>
    <x v="0"/>
    <x v="45"/>
    <n v="35"/>
    <n v="0.7"/>
  </r>
  <r>
    <x v="16"/>
    <s v="Snack"/>
    <s v="S05"/>
    <n v="20"/>
    <n v="25"/>
    <n v="4"/>
    <n v="0"/>
    <n v="4"/>
    <x v="13"/>
    <x v="0"/>
    <x v="33"/>
    <n v="20"/>
    <n v="1"/>
  </r>
  <r>
    <x v="17"/>
    <s v="Bread Item"/>
    <s v="B01"/>
    <n v="25"/>
    <n v="30"/>
    <n v="10"/>
    <n v="3"/>
    <n v="7"/>
    <x v="13"/>
    <x v="0"/>
    <x v="24"/>
    <n v="35"/>
    <n v="0.7"/>
  </r>
  <r>
    <x v="18"/>
    <s v="Bread Item"/>
    <s v="B02"/>
    <n v="25"/>
    <n v="30"/>
    <n v="8"/>
    <n v="6"/>
    <n v="2"/>
    <x v="13"/>
    <x v="0"/>
    <x v="42"/>
    <n v="10"/>
    <n v="0.25"/>
  </r>
  <r>
    <x v="19"/>
    <s v="Bread Item"/>
    <s v="B03"/>
    <n v="25"/>
    <n v="30"/>
    <n v="10"/>
    <n v="2"/>
    <n v="8"/>
    <x v="13"/>
    <x v="0"/>
    <x v="47"/>
    <n v="40"/>
    <n v="0.8"/>
  </r>
  <r>
    <x v="20"/>
    <s v="Bread Item"/>
    <s v="B04"/>
    <n v="30"/>
    <n v="35"/>
    <n v="9"/>
    <n v="4"/>
    <n v="5"/>
    <x v="13"/>
    <x v="0"/>
    <x v="64"/>
    <n v="25"/>
    <n v="0.55555555555555558"/>
  </r>
  <r>
    <x v="0"/>
    <s v="Fresh Cream"/>
    <s v="F01"/>
    <n v="100"/>
    <n v="200"/>
    <n v="1"/>
    <n v="0"/>
    <n v="1"/>
    <x v="14"/>
    <x v="1"/>
    <x v="19"/>
    <n v="100"/>
    <n v="1"/>
  </r>
  <r>
    <x v="1"/>
    <s v="Fresh Cream"/>
    <s v="F02"/>
    <n v="200"/>
    <n v="300"/>
    <n v="2"/>
    <n v="2"/>
    <n v="0"/>
    <x v="14"/>
    <x v="1"/>
    <x v="17"/>
    <n v="0"/>
    <n v="0"/>
  </r>
  <r>
    <x v="2"/>
    <s v="Fresh Cream"/>
    <s v="F03"/>
    <n v="150"/>
    <n v="250"/>
    <n v="1"/>
    <n v="1"/>
    <n v="0"/>
    <x v="14"/>
    <x v="1"/>
    <x v="17"/>
    <n v="0"/>
    <n v="0"/>
  </r>
  <r>
    <x v="3"/>
    <s v="Fresh Cream"/>
    <s v="F04"/>
    <n v="100"/>
    <n v="200"/>
    <n v="3"/>
    <n v="1"/>
    <n v="2"/>
    <x v="14"/>
    <x v="1"/>
    <x v="0"/>
    <n v="200"/>
    <n v="0.66666666666666663"/>
  </r>
  <r>
    <x v="0"/>
    <s v="Rich Cream"/>
    <s v="R01"/>
    <n v="250"/>
    <n v="350"/>
    <n v="2"/>
    <n v="0"/>
    <n v="2"/>
    <x v="14"/>
    <x v="1"/>
    <x v="4"/>
    <n v="200"/>
    <n v="1"/>
  </r>
  <r>
    <x v="1"/>
    <s v="Rich Cream"/>
    <s v="R02"/>
    <n v="300"/>
    <n v="400"/>
    <n v="1"/>
    <n v="1"/>
    <n v="0"/>
    <x v="14"/>
    <x v="1"/>
    <x v="17"/>
    <n v="0"/>
    <n v="0"/>
  </r>
  <r>
    <x v="2"/>
    <s v="Rich Cream"/>
    <s v="R03"/>
    <n v="250"/>
    <n v="350"/>
    <n v="2"/>
    <n v="1"/>
    <n v="1"/>
    <x v="14"/>
    <x v="1"/>
    <x v="7"/>
    <n v="100"/>
    <n v="0.5"/>
  </r>
  <r>
    <x v="3"/>
    <s v="Rich Cream"/>
    <s v="R04"/>
    <n v="250"/>
    <n v="350"/>
    <n v="2"/>
    <n v="2"/>
    <n v="0"/>
    <x v="14"/>
    <x v="1"/>
    <x v="17"/>
    <n v="0"/>
    <n v="0"/>
  </r>
  <r>
    <x v="4"/>
    <s v="Rich Cream"/>
    <s v="R05"/>
    <n v="300"/>
    <n v="450"/>
    <n v="2"/>
    <n v="0"/>
    <n v="2"/>
    <x v="14"/>
    <x v="1"/>
    <x v="1"/>
    <n v="300"/>
    <n v="1"/>
  </r>
  <r>
    <x v="5"/>
    <s v="Dry Cake"/>
    <s v="D01"/>
    <n v="320"/>
    <n v="400"/>
    <n v="0"/>
    <n v="0"/>
    <n v="0"/>
    <x v="14"/>
    <x v="1"/>
    <x v="17"/>
    <n v="0"/>
    <n v="0"/>
  </r>
  <r>
    <x v="6"/>
    <s v="Dry Cake"/>
    <s v="D02"/>
    <n v="100"/>
    <n v="150"/>
    <n v="5"/>
    <n v="3"/>
    <n v="2"/>
    <x v="14"/>
    <x v="1"/>
    <x v="62"/>
    <n v="100"/>
    <n v="0.4"/>
  </r>
  <r>
    <x v="0"/>
    <s v="Pastry"/>
    <s v="P01"/>
    <n v="25"/>
    <n v="40"/>
    <n v="19"/>
    <n v="3"/>
    <n v="16"/>
    <x v="14"/>
    <x v="1"/>
    <x v="73"/>
    <n v="240"/>
    <n v="0.84210526315789469"/>
  </r>
  <r>
    <x v="1"/>
    <s v="Pastry"/>
    <s v="P02"/>
    <n v="30"/>
    <n v="50"/>
    <n v="4"/>
    <n v="4"/>
    <n v="0"/>
    <x v="14"/>
    <x v="1"/>
    <x v="17"/>
    <n v="0"/>
    <n v="0"/>
  </r>
  <r>
    <x v="3"/>
    <s v="Pastry"/>
    <s v="P03"/>
    <n v="25"/>
    <n v="40"/>
    <n v="3"/>
    <n v="2"/>
    <n v="1"/>
    <x v="14"/>
    <x v="1"/>
    <x v="35"/>
    <n v="15"/>
    <n v="0.33333333333333331"/>
  </r>
  <r>
    <x v="2"/>
    <s v="Pastry"/>
    <s v="P04"/>
    <n v="25"/>
    <n v="40"/>
    <n v="5"/>
    <n v="3"/>
    <n v="2"/>
    <x v="14"/>
    <x v="1"/>
    <x v="44"/>
    <n v="30"/>
    <n v="0.4"/>
  </r>
  <r>
    <x v="4"/>
    <s v="Pastry"/>
    <s v="P05"/>
    <n v="30"/>
    <n v="55"/>
    <n v="2"/>
    <n v="1"/>
    <n v="1"/>
    <x v="14"/>
    <x v="1"/>
    <x v="30"/>
    <n v="25"/>
    <n v="0.5"/>
  </r>
  <r>
    <x v="7"/>
    <s v="Pastry"/>
    <s v="P06"/>
    <n v="40"/>
    <n v="65"/>
    <n v="14"/>
    <n v="14"/>
    <n v="0"/>
    <x v="14"/>
    <x v="1"/>
    <x v="17"/>
    <n v="0"/>
    <n v="0"/>
  </r>
  <r>
    <x v="8"/>
    <s v="Pastry"/>
    <s v="P07"/>
    <n v="50"/>
    <n v="70"/>
    <n v="0"/>
    <n v="0"/>
    <n v="0"/>
    <x v="14"/>
    <x v="1"/>
    <x v="17"/>
    <n v="0"/>
    <n v="0"/>
  </r>
  <r>
    <x v="9"/>
    <s v="Pastry"/>
    <s v="P08"/>
    <n v="20"/>
    <n v="30"/>
    <n v="15"/>
    <n v="9"/>
    <n v="6"/>
    <x v="14"/>
    <x v="1"/>
    <x v="34"/>
    <n v="60"/>
    <n v="0.4"/>
  </r>
  <r>
    <x v="10"/>
    <s v="Pastry"/>
    <s v="P09"/>
    <n v="10"/>
    <n v="20"/>
    <n v="8"/>
    <n v="8"/>
    <n v="0"/>
    <x v="14"/>
    <x v="1"/>
    <x v="17"/>
    <n v="0"/>
    <n v="0"/>
  </r>
  <r>
    <x v="11"/>
    <s v="Pastry"/>
    <s v="P10"/>
    <n v="60"/>
    <n v="100"/>
    <n v="6"/>
    <n v="6"/>
    <n v="0"/>
    <x v="14"/>
    <x v="1"/>
    <x v="17"/>
    <n v="0"/>
    <n v="0"/>
  </r>
  <r>
    <x v="12"/>
    <s v="Snack"/>
    <s v="S01"/>
    <n v="50"/>
    <n v="70"/>
    <n v="4"/>
    <n v="0"/>
    <n v="4"/>
    <x v="14"/>
    <x v="1"/>
    <x v="29"/>
    <n v="80"/>
    <n v="1"/>
  </r>
  <r>
    <x v="13"/>
    <s v="Snack"/>
    <s v="S02"/>
    <n v="45"/>
    <n v="65"/>
    <n v="1"/>
    <n v="1"/>
    <n v="0"/>
    <x v="14"/>
    <x v="1"/>
    <x v="17"/>
    <n v="0"/>
    <n v="0"/>
  </r>
  <r>
    <x v="14"/>
    <s v="Snack"/>
    <s v="S03"/>
    <n v="50"/>
    <n v="70"/>
    <n v="0"/>
    <n v="0"/>
    <n v="0"/>
    <x v="14"/>
    <x v="1"/>
    <x v="17"/>
    <n v="0"/>
    <n v="0"/>
  </r>
  <r>
    <x v="15"/>
    <s v="Snack"/>
    <s v="S04"/>
    <n v="10"/>
    <n v="15"/>
    <n v="8"/>
    <n v="2"/>
    <n v="6"/>
    <x v="14"/>
    <x v="1"/>
    <x v="38"/>
    <n v="30"/>
    <n v="0.75"/>
  </r>
  <r>
    <x v="16"/>
    <s v="Snack"/>
    <s v="S05"/>
    <n v="20"/>
    <n v="25"/>
    <n v="5"/>
    <n v="4"/>
    <n v="1"/>
    <x v="14"/>
    <x v="1"/>
    <x v="39"/>
    <n v="5"/>
    <n v="0.2"/>
  </r>
  <r>
    <x v="17"/>
    <s v="Bread Item"/>
    <s v="B01"/>
    <n v="25"/>
    <n v="30"/>
    <n v="3"/>
    <n v="0"/>
    <n v="3"/>
    <x v="14"/>
    <x v="1"/>
    <x v="38"/>
    <n v="15"/>
    <n v="1"/>
  </r>
  <r>
    <x v="18"/>
    <s v="Bread Item"/>
    <s v="B02"/>
    <n v="25"/>
    <n v="30"/>
    <n v="6"/>
    <n v="2"/>
    <n v="4"/>
    <x v="14"/>
    <x v="1"/>
    <x v="28"/>
    <n v="20"/>
    <n v="0.66666666666666663"/>
  </r>
  <r>
    <x v="19"/>
    <s v="Bread Item"/>
    <s v="B03"/>
    <n v="25"/>
    <n v="30"/>
    <n v="2"/>
    <n v="1"/>
    <n v="1"/>
    <x v="14"/>
    <x v="1"/>
    <x v="32"/>
    <n v="5"/>
    <n v="0.5"/>
  </r>
  <r>
    <x v="20"/>
    <s v="Bread Item"/>
    <s v="B04"/>
    <n v="30"/>
    <n v="35"/>
    <n v="4"/>
    <n v="0"/>
    <n v="4"/>
    <x v="14"/>
    <x v="1"/>
    <x v="25"/>
    <n v="20"/>
    <n v="1"/>
  </r>
  <r>
    <x v="0"/>
    <s v="Fresh Cream"/>
    <s v="F01"/>
    <n v="100"/>
    <n v="200"/>
    <n v="3"/>
    <n v="2"/>
    <n v="1"/>
    <x v="15"/>
    <x v="7"/>
    <x v="19"/>
    <n v="100"/>
    <n v="0.33333333333333331"/>
  </r>
  <r>
    <x v="1"/>
    <s v="Fresh Cream"/>
    <s v="F02"/>
    <n v="200"/>
    <n v="300"/>
    <n v="2"/>
    <n v="1"/>
    <n v="1"/>
    <x v="15"/>
    <x v="7"/>
    <x v="62"/>
    <n v="100"/>
    <n v="0.5"/>
  </r>
  <r>
    <x v="2"/>
    <s v="Fresh Cream"/>
    <s v="F03"/>
    <n v="150"/>
    <n v="250"/>
    <n v="3"/>
    <n v="1"/>
    <n v="2"/>
    <x v="15"/>
    <x v="7"/>
    <x v="12"/>
    <n v="200"/>
    <n v="0.66666666666666663"/>
  </r>
  <r>
    <x v="3"/>
    <s v="Fresh Cream"/>
    <s v="F04"/>
    <n v="100"/>
    <n v="200"/>
    <n v="4"/>
    <n v="1"/>
    <n v="3"/>
    <x v="15"/>
    <x v="7"/>
    <x v="3"/>
    <n v="300"/>
    <n v="0.75"/>
  </r>
  <r>
    <x v="0"/>
    <s v="Rich Cream"/>
    <s v="R01"/>
    <n v="250"/>
    <n v="350"/>
    <n v="2"/>
    <n v="2"/>
    <n v="0"/>
    <x v="15"/>
    <x v="7"/>
    <x v="17"/>
    <n v="0"/>
    <n v="0"/>
  </r>
  <r>
    <x v="1"/>
    <s v="Rich Cream"/>
    <s v="R02"/>
    <n v="300"/>
    <n v="400"/>
    <n v="1"/>
    <n v="1"/>
    <n v="0"/>
    <x v="15"/>
    <x v="7"/>
    <x v="17"/>
    <n v="0"/>
    <n v="0"/>
  </r>
  <r>
    <x v="2"/>
    <s v="Rich Cream"/>
    <s v="R03"/>
    <n v="250"/>
    <n v="350"/>
    <n v="2"/>
    <n v="1"/>
    <n v="1"/>
    <x v="15"/>
    <x v="7"/>
    <x v="7"/>
    <n v="100"/>
    <n v="0.5"/>
  </r>
  <r>
    <x v="3"/>
    <s v="Rich Cream"/>
    <s v="R04"/>
    <n v="250"/>
    <n v="350"/>
    <n v="2"/>
    <n v="1"/>
    <n v="1"/>
    <x v="15"/>
    <x v="7"/>
    <x v="7"/>
    <n v="100"/>
    <n v="0.5"/>
  </r>
  <r>
    <x v="4"/>
    <s v="Rich Cream"/>
    <s v="R05"/>
    <n v="300"/>
    <n v="450"/>
    <n v="1"/>
    <n v="1"/>
    <n v="0"/>
    <x v="15"/>
    <x v="7"/>
    <x v="17"/>
    <n v="0"/>
    <n v="0"/>
  </r>
  <r>
    <x v="5"/>
    <s v="Dry Cake"/>
    <s v="D01"/>
    <n v="320"/>
    <n v="400"/>
    <n v="0"/>
    <n v="0"/>
    <n v="0"/>
    <x v="15"/>
    <x v="7"/>
    <x v="17"/>
    <n v="0"/>
    <n v="0"/>
  </r>
  <r>
    <x v="6"/>
    <s v="Dry Cake"/>
    <s v="D02"/>
    <n v="100"/>
    <n v="150"/>
    <n v="3"/>
    <n v="3"/>
    <n v="0"/>
    <x v="15"/>
    <x v="7"/>
    <x v="17"/>
    <n v="0"/>
    <n v="0"/>
  </r>
  <r>
    <x v="0"/>
    <s v="Pastry"/>
    <s v="P01"/>
    <n v="25"/>
    <n v="40"/>
    <n v="11"/>
    <n v="3"/>
    <n v="8"/>
    <x v="15"/>
    <x v="7"/>
    <x v="48"/>
    <n v="120"/>
    <n v="0.72727272727272729"/>
  </r>
  <r>
    <x v="1"/>
    <s v="Pastry"/>
    <s v="P02"/>
    <n v="30"/>
    <n v="50"/>
    <n v="12"/>
    <n v="5"/>
    <n v="7"/>
    <x v="15"/>
    <x v="7"/>
    <x v="7"/>
    <n v="140"/>
    <n v="0.58333333333333337"/>
  </r>
  <r>
    <x v="3"/>
    <s v="Pastry"/>
    <s v="P03"/>
    <n v="25"/>
    <n v="40"/>
    <n v="10"/>
    <n v="10"/>
    <n v="0"/>
    <x v="15"/>
    <x v="7"/>
    <x v="17"/>
    <n v="0"/>
    <n v="0"/>
  </r>
  <r>
    <x v="2"/>
    <s v="Pastry"/>
    <s v="P04"/>
    <n v="25"/>
    <n v="40"/>
    <n v="11"/>
    <n v="7"/>
    <n v="4"/>
    <x v="15"/>
    <x v="7"/>
    <x v="63"/>
    <n v="60"/>
    <n v="0.36363636363636365"/>
  </r>
  <r>
    <x v="4"/>
    <s v="Pastry"/>
    <s v="P05"/>
    <n v="30"/>
    <n v="55"/>
    <n v="9"/>
    <n v="9"/>
    <n v="0"/>
    <x v="15"/>
    <x v="7"/>
    <x v="17"/>
    <n v="0"/>
    <n v="0"/>
  </r>
  <r>
    <x v="7"/>
    <s v="Pastry"/>
    <s v="P06"/>
    <n v="40"/>
    <n v="65"/>
    <n v="14"/>
    <n v="1"/>
    <n v="13"/>
    <x v="15"/>
    <x v="7"/>
    <x v="74"/>
    <n v="325"/>
    <n v="0.9285714285714286"/>
  </r>
  <r>
    <x v="8"/>
    <s v="Pastry"/>
    <s v="P07"/>
    <n v="50"/>
    <n v="70"/>
    <n v="0"/>
    <n v="0"/>
    <n v="0"/>
    <x v="15"/>
    <x v="7"/>
    <x v="17"/>
    <n v="0"/>
    <n v="0"/>
  </r>
  <r>
    <x v="9"/>
    <s v="Pastry"/>
    <s v="P08"/>
    <n v="20"/>
    <n v="30"/>
    <n v="28"/>
    <n v="22"/>
    <n v="6"/>
    <x v="15"/>
    <x v="7"/>
    <x v="34"/>
    <n v="60"/>
    <n v="0.21428571428571427"/>
  </r>
  <r>
    <x v="10"/>
    <s v="Pastry"/>
    <s v="P09"/>
    <n v="10"/>
    <n v="20"/>
    <n v="17"/>
    <n v="17"/>
    <n v="0"/>
    <x v="15"/>
    <x v="7"/>
    <x v="17"/>
    <n v="0"/>
    <n v="0"/>
  </r>
  <r>
    <x v="11"/>
    <s v="Pastry"/>
    <s v="P10"/>
    <n v="60"/>
    <n v="100"/>
    <n v="6"/>
    <n v="6"/>
    <n v="0"/>
    <x v="15"/>
    <x v="7"/>
    <x v="17"/>
    <n v="0"/>
    <n v="0"/>
  </r>
  <r>
    <x v="12"/>
    <s v="Snack"/>
    <s v="S01"/>
    <n v="50"/>
    <n v="70"/>
    <n v="0"/>
    <n v="0"/>
    <n v="0"/>
    <x v="15"/>
    <x v="7"/>
    <x v="17"/>
    <n v="0"/>
    <n v="0"/>
  </r>
  <r>
    <x v="13"/>
    <s v="Snack"/>
    <s v="S02"/>
    <n v="45"/>
    <n v="65"/>
    <n v="1"/>
    <n v="0"/>
    <n v="1"/>
    <x v="15"/>
    <x v="7"/>
    <x v="71"/>
    <n v="20"/>
    <n v="1"/>
  </r>
  <r>
    <x v="14"/>
    <s v="Snack"/>
    <s v="S03"/>
    <n v="50"/>
    <n v="70"/>
    <n v="0"/>
    <n v="0"/>
    <n v="0"/>
    <x v="15"/>
    <x v="7"/>
    <x v="17"/>
    <n v="0"/>
    <n v="0"/>
  </r>
  <r>
    <x v="15"/>
    <s v="Snack"/>
    <s v="S04"/>
    <n v="10"/>
    <n v="15"/>
    <n v="7"/>
    <n v="2"/>
    <n v="5"/>
    <x v="15"/>
    <x v="7"/>
    <x v="49"/>
    <n v="25"/>
    <n v="0.7142857142857143"/>
  </r>
  <r>
    <x v="16"/>
    <s v="Snack"/>
    <s v="S05"/>
    <n v="20"/>
    <n v="25"/>
    <n v="9"/>
    <n v="3"/>
    <n v="6"/>
    <x v="15"/>
    <x v="7"/>
    <x v="22"/>
    <n v="30"/>
    <n v="0.66666666666666663"/>
  </r>
  <r>
    <x v="17"/>
    <s v="Bread Item"/>
    <s v="B01"/>
    <n v="25"/>
    <n v="30"/>
    <n v="10"/>
    <n v="6"/>
    <n v="4"/>
    <x v="15"/>
    <x v="7"/>
    <x v="28"/>
    <n v="20"/>
    <n v="0.4"/>
  </r>
  <r>
    <x v="18"/>
    <s v="Bread Item"/>
    <s v="B02"/>
    <n v="25"/>
    <n v="30"/>
    <n v="8"/>
    <n v="7"/>
    <n v="1"/>
    <x v="15"/>
    <x v="7"/>
    <x v="32"/>
    <n v="5"/>
    <n v="0.125"/>
  </r>
  <r>
    <x v="19"/>
    <s v="Bread Item"/>
    <s v="B03"/>
    <n v="25"/>
    <n v="30"/>
    <n v="7"/>
    <n v="5"/>
    <n v="2"/>
    <x v="15"/>
    <x v="7"/>
    <x v="42"/>
    <n v="10"/>
    <n v="0.2857142857142857"/>
  </r>
  <r>
    <x v="20"/>
    <s v="Bread Item"/>
    <s v="B04"/>
    <n v="30"/>
    <n v="35"/>
    <n v="10"/>
    <n v="8"/>
    <n v="2"/>
    <x v="15"/>
    <x v="7"/>
    <x v="20"/>
    <n v="10"/>
    <n v="0.2"/>
  </r>
  <r>
    <x v="0"/>
    <s v="Fresh Cream"/>
    <s v="F01"/>
    <n v="100"/>
    <n v="200"/>
    <n v="2"/>
    <n v="1"/>
    <n v="1"/>
    <x v="16"/>
    <x v="4"/>
    <x v="19"/>
    <n v="100"/>
    <n v="0.5"/>
  </r>
  <r>
    <x v="1"/>
    <s v="Fresh Cream"/>
    <s v="F02"/>
    <n v="200"/>
    <n v="300"/>
    <n v="1"/>
    <n v="1"/>
    <n v="0"/>
    <x v="16"/>
    <x v="4"/>
    <x v="17"/>
    <n v="0"/>
    <n v="0"/>
  </r>
  <r>
    <x v="2"/>
    <s v="Fresh Cream"/>
    <s v="F03"/>
    <n v="150"/>
    <n v="250"/>
    <n v="2"/>
    <n v="2"/>
    <n v="0"/>
    <x v="16"/>
    <x v="4"/>
    <x v="17"/>
    <n v="0"/>
    <n v="0"/>
  </r>
  <r>
    <x v="3"/>
    <s v="Fresh Cream"/>
    <s v="F04"/>
    <n v="100"/>
    <n v="200"/>
    <n v="1"/>
    <n v="0"/>
    <n v="1"/>
    <x v="16"/>
    <x v="4"/>
    <x v="19"/>
    <n v="100"/>
    <n v="1"/>
  </r>
  <r>
    <x v="0"/>
    <s v="Rich Cream"/>
    <s v="R01"/>
    <n v="250"/>
    <n v="350"/>
    <n v="2"/>
    <n v="1"/>
    <n v="1"/>
    <x v="16"/>
    <x v="4"/>
    <x v="7"/>
    <n v="100"/>
    <n v="0.5"/>
  </r>
  <r>
    <x v="1"/>
    <s v="Rich Cream"/>
    <s v="R02"/>
    <n v="300"/>
    <n v="400"/>
    <n v="1"/>
    <n v="1"/>
    <n v="0"/>
    <x v="16"/>
    <x v="4"/>
    <x v="17"/>
    <n v="0"/>
    <n v="0"/>
  </r>
  <r>
    <x v="2"/>
    <s v="Rich Cream"/>
    <s v="R03"/>
    <n v="250"/>
    <n v="350"/>
    <n v="1"/>
    <n v="0"/>
    <n v="1"/>
    <x v="16"/>
    <x v="4"/>
    <x v="7"/>
    <n v="100"/>
    <n v="1"/>
  </r>
  <r>
    <x v="3"/>
    <s v="Rich Cream"/>
    <s v="R04"/>
    <n v="250"/>
    <n v="350"/>
    <n v="1"/>
    <n v="0"/>
    <n v="1"/>
    <x v="16"/>
    <x v="4"/>
    <x v="7"/>
    <n v="100"/>
    <n v="1"/>
  </r>
  <r>
    <x v="4"/>
    <s v="Rich Cream"/>
    <s v="R05"/>
    <n v="300"/>
    <n v="450"/>
    <n v="1"/>
    <n v="1"/>
    <n v="0"/>
    <x v="16"/>
    <x v="4"/>
    <x v="17"/>
    <n v="0"/>
    <n v="0"/>
  </r>
  <r>
    <x v="5"/>
    <s v="Dry Cake"/>
    <s v="D01"/>
    <n v="320"/>
    <n v="400"/>
    <n v="0"/>
    <n v="0"/>
    <n v="0"/>
    <x v="16"/>
    <x v="4"/>
    <x v="17"/>
    <n v="0"/>
    <n v="0"/>
  </r>
  <r>
    <x v="6"/>
    <s v="Dry Cake"/>
    <s v="D02"/>
    <n v="100"/>
    <n v="150"/>
    <n v="3"/>
    <n v="3"/>
    <n v="0"/>
    <x v="16"/>
    <x v="4"/>
    <x v="17"/>
    <n v="0"/>
    <n v="0"/>
  </r>
  <r>
    <x v="0"/>
    <s v="Pastry"/>
    <s v="P01"/>
    <n v="25"/>
    <n v="40"/>
    <n v="3"/>
    <n v="3"/>
    <n v="0"/>
    <x v="16"/>
    <x v="4"/>
    <x v="17"/>
    <n v="0"/>
    <n v="0"/>
  </r>
  <r>
    <x v="1"/>
    <s v="Pastry"/>
    <s v="P02"/>
    <n v="30"/>
    <n v="50"/>
    <n v="5"/>
    <n v="4"/>
    <n v="1"/>
    <x v="16"/>
    <x v="4"/>
    <x v="41"/>
    <n v="20"/>
    <n v="0.2"/>
  </r>
  <r>
    <x v="3"/>
    <s v="Pastry"/>
    <s v="P03"/>
    <n v="25"/>
    <n v="40"/>
    <n v="10"/>
    <n v="10"/>
    <n v="0"/>
    <x v="16"/>
    <x v="4"/>
    <x v="17"/>
    <n v="0"/>
    <n v="0"/>
  </r>
  <r>
    <x v="2"/>
    <s v="Pastry"/>
    <s v="P04"/>
    <n v="25"/>
    <n v="40"/>
    <n v="7"/>
    <n v="7"/>
    <n v="0"/>
    <x v="16"/>
    <x v="4"/>
    <x v="17"/>
    <n v="0"/>
    <n v="0"/>
  </r>
  <r>
    <x v="4"/>
    <s v="Pastry"/>
    <s v="P05"/>
    <n v="30"/>
    <n v="55"/>
    <n v="9"/>
    <n v="8"/>
    <n v="1"/>
    <x v="16"/>
    <x v="4"/>
    <x v="30"/>
    <n v="25"/>
    <n v="0.1111111111111111"/>
  </r>
  <r>
    <x v="7"/>
    <s v="Pastry"/>
    <s v="P06"/>
    <n v="40"/>
    <n v="65"/>
    <n v="11"/>
    <n v="8"/>
    <n v="3"/>
    <x v="16"/>
    <x v="4"/>
    <x v="65"/>
    <n v="75"/>
    <n v="0.27272727272727271"/>
  </r>
  <r>
    <x v="8"/>
    <s v="Pastry"/>
    <s v="P07"/>
    <n v="50"/>
    <n v="70"/>
    <n v="0"/>
    <n v="0"/>
    <n v="0"/>
    <x v="16"/>
    <x v="4"/>
    <x v="17"/>
    <n v="0"/>
    <n v="0"/>
  </r>
  <r>
    <x v="9"/>
    <s v="Pastry"/>
    <s v="P08"/>
    <n v="20"/>
    <n v="30"/>
    <n v="22"/>
    <n v="22"/>
    <n v="0"/>
    <x v="16"/>
    <x v="4"/>
    <x v="17"/>
    <n v="0"/>
    <n v="0"/>
  </r>
  <r>
    <x v="10"/>
    <s v="Pastry"/>
    <s v="P09"/>
    <n v="10"/>
    <n v="20"/>
    <n v="17"/>
    <n v="17"/>
    <n v="0"/>
    <x v="16"/>
    <x v="4"/>
    <x v="17"/>
    <n v="0"/>
    <n v="0"/>
  </r>
  <r>
    <x v="11"/>
    <s v="Pastry"/>
    <s v="P10"/>
    <n v="60"/>
    <n v="100"/>
    <n v="6"/>
    <n v="6"/>
    <n v="0"/>
    <x v="16"/>
    <x v="4"/>
    <x v="17"/>
    <n v="0"/>
    <n v="0"/>
  </r>
  <r>
    <x v="12"/>
    <s v="Snack"/>
    <s v="S01"/>
    <n v="50"/>
    <n v="70"/>
    <n v="0"/>
    <n v="0"/>
    <n v="0"/>
    <x v="16"/>
    <x v="4"/>
    <x v="17"/>
    <n v="0"/>
    <n v="0"/>
  </r>
  <r>
    <x v="13"/>
    <s v="Snack"/>
    <s v="S02"/>
    <n v="45"/>
    <n v="65"/>
    <n v="0"/>
    <n v="0"/>
    <n v="0"/>
    <x v="16"/>
    <x v="4"/>
    <x v="17"/>
    <n v="0"/>
    <n v="0"/>
  </r>
  <r>
    <x v="14"/>
    <s v="Snack"/>
    <s v="S03"/>
    <n v="50"/>
    <n v="70"/>
    <n v="0"/>
    <n v="0"/>
    <n v="0"/>
    <x v="16"/>
    <x v="4"/>
    <x v="17"/>
    <n v="0"/>
    <n v="0"/>
  </r>
  <r>
    <x v="15"/>
    <s v="Snack"/>
    <s v="S04"/>
    <n v="10"/>
    <n v="15"/>
    <n v="2"/>
    <n v="0"/>
    <n v="2"/>
    <x v="16"/>
    <x v="4"/>
    <x v="32"/>
    <n v="10"/>
    <n v="1"/>
  </r>
  <r>
    <x v="16"/>
    <s v="Snack"/>
    <s v="S05"/>
    <n v="20"/>
    <n v="25"/>
    <n v="3"/>
    <n v="0"/>
    <n v="3"/>
    <x v="16"/>
    <x v="4"/>
    <x v="49"/>
    <n v="15"/>
    <n v="1"/>
  </r>
  <r>
    <x v="17"/>
    <s v="Bread Item"/>
    <s v="B01"/>
    <n v="25"/>
    <n v="30"/>
    <n v="16"/>
    <n v="10"/>
    <n v="6"/>
    <x v="16"/>
    <x v="4"/>
    <x v="34"/>
    <n v="30"/>
    <n v="0.375"/>
  </r>
  <r>
    <x v="18"/>
    <s v="Bread Item"/>
    <s v="B02"/>
    <n v="25"/>
    <n v="30"/>
    <n v="7"/>
    <n v="7"/>
    <n v="0"/>
    <x v="16"/>
    <x v="4"/>
    <x v="17"/>
    <n v="0"/>
    <n v="0"/>
  </r>
  <r>
    <x v="19"/>
    <s v="Bread Item"/>
    <s v="B03"/>
    <n v="25"/>
    <n v="30"/>
    <n v="5"/>
    <n v="5"/>
    <n v="0"/>
    <x v="16"/>
    <x v="4"/>
    <x v="17"/>
    <n v="0"/>
    <n v="0"/>
  </r>
  <r>
    <x v="20"/>
    <s v="Bread Item"/>
    <s v="B04"/>
    <n v="30"/>
    <n v="35"/>
    <n v="13"/>
    <n v="2"/>
    <n v="11"/>
    <x v="16"/>
    <x v="4"/>
    <x v="75"/>
    <n v="55"/>
    <n v="0.84615384615384615"/>
  </r>
  <r>
    <x v="0"/>
    <s v="Fresh Cream"/>
    <s v="F01"/>
    <n v="100"/>
    <n v="200"/>
    <n v="3"/>
    <n v="1"/>
    <n v="2"/>
    <x v="17"/>
    <x v="5"/>
    <x v="0"/>
    <n v="200"/>
    <n v="0.66666666666666663"/>
  </r>
  <r>
    <x v="1"/>
    <s v="Fresh Cream"/>
    <s v="F02"/>
    <n v="200"/>
    <n v="300"/>
    <n v="3"/>
    <n v="3"/>
    <n v="0"/>
    <x v="17"/>
    <x v="5"/>
    <x v="17"/>
    <n v="0"/>
    <n v="0"/>
  </r>
  <r>
    <x v="2"/>
    <s v="Fresh Cream"/>
    <s v="F03"/>
    <n v="150"/>
    <n v="250"/>
    <n v="4"/>
    <n v="1"/>
    <n v="3"/>
    <x v="17"/>
    <x v="5"/>
    <x v="2"/>
    <n v="300"/>
    <n v="0.75"/>
  </r>
  <r>
    <x v="3"/>
    <s v="Fresh Cream"/>
    <s v="F04"/>
    <n v="100"/>
    <n v="200"/>
    <n v="2"/>
    <n v="1"/>
    <n v="1"/>
    <x v="17"/>
    <x v="5"/>
    <x v="19"/>
    <n v="100"/>
    <n v="0.5"/>
  </r>
  <r>
    <x v="0"/>
    <s v="Rich Cream"/>
    <s v="R01"/>
    <n v="250"/>
    <n v="350"/>
    <n v="2"/>
    <n v="2"/>
    <n v="0"/>
    <x v="17"/>
    <x v="5"/>
    <x v="17"/>
    <n v="0"/>
    <n v="0"/>
  </r>
  <r>
    <x v="1"/>
    <s v="Rich Cream"/>
    <s v="R02"/>
    <n v="300"/>
    <n v="400"/>
    <n v="2"/>
    <n v="2"/>
    <n v="0"/>
    <x v="17"/>
    <x v="5"/>
    <x v="17"/>
    <n v="0"/>
    <n v="0"/>
  </r>
  <r>
    <x v="2"/>
    <s v="Rich Cream"/>
    <s v="R03"/>
    <n v="250"/>
    <n v="350"/>
    <n v="2"/>
    <n v="1"/>
    <n v="1"/>
    <x v="17"/>
    <x v="5"/>
    <x v="7"/>
    <n v="100"/>
    <n v="0.5"/>
  </r>
  <r>
    <x v="3"/>
    <s v="Rich Cream"/>
    <s v="R04"/>
    <n v="250"/>
    <n v="350"/>
    <n v="0"/>
    <n v="0"/>
    <n v="0"/>
    <x v="17"/>
    <x v="5"/>
    <x v="17"/>
    <n v="0"/>
    <n v="0"/>
  </r>
  <r>
    <x v="4"/>
    <s v="Rich Cream"/>
    <s v="R05"/>
    <n v="300"/>
    <n v="450"/>
    <n v="1"/>
    <n v="1"/>
    <n v="0"/>
    <x v="17"/>
    <x v="5"/>
    <x v="17"/>
    <n v="0"/>
    <n v="0"/>
  </r>
  <r>
    <x v="5"/>
    <s v="Dry Cake"/>
    <s v="D01"/>
    <n v="320"/>
    <n v="400"/>
    <n v="0"/>
    <n v="0"/>
    <n v="0"/>
    <x v="17"/>
    <x v="5"/>
    <x v="17"/>
    <n v="0"/>
    <n v="0"/>
  </r>
  <r>
    <x v="6"/>
    <s v="Dry Cake"/>
    <s v="D02"/>
    <n v="100"/>
    <n v="150"/>
    <n v="3"/>
    <n v="3"/>
    <n v="0"/>
    <x v="17"/>
    <x v="5"/>
    <x v="17"/>
    <n v="0"/>
    <n v="0"/>
  </r>
  <r>
    <x v="0"/>
    <s v="Pastry"/>
    <s v="P01"/>
    <n v="25"/>
    <n v="40"/>
    <n v="16"/>
    <n v="15"/>
    <n v="1"/>
    <x v="17"/>
    <x v="5"/>
    <x v="35"/>
    <n v="15"/>
    <n v="6.25E-2"/>
  </r>
  <r>
    <x v="1"/>
    <s v="Pastry"/>
    <s v="P02"/>
    <n v="30"/>
    <n v="50"/>
    <n v="13"/>
    <n v="13"/>
    <n v="0"/>
    <x v="17"/>
    <x v="5"/>
    <x v="17"/>
    <n v="0"/>
    <n v="0"/>
  </r>
  <r>
    <x v="3"/>
    <s v="Pastry"/>
    <s v="P03"/>
    <n v="25"/>
    <n v="40"/>
    <n v="18"/>
    <n v="15"/>
    <n v="3"/>
    <x v="17"/>
    <x v="5"/>
    <x v="28"/>
    <n v="45"/>
    <n v="0.16666666666666666"/>
  </r>
  <r>
    <x v="2"/>
    <s v="Pastry"/>
    <s v="P04"/>
    <n v="25"/>
    <n v="40"/>
    <n v="15"/>
    <n v="9"/>
    <n v="6"/>
    <x v="17"/>
    <x v="5"/>
    <x v="47"/>
    <n v="90"/>
    <n v="0.4"/>
  </r>
  <r>
    <x v="4"/>
    <s v="Pastry"/>
    <s v="P05"/>
    <n v="30"/>
    <n v="55"/>
    <n v="16"/>
    <n v="12"/>
    <n v="4"/>
    <x v="17"/>
    <x v="5"/>
    <x v="76"/>
    <n v="100"/>
    <n v="0.25"/>
  </r>
  <r>
    <x v="7"/>
    <s v="Pastry"/>
    <s v="P06"/>
    <n v="40"/>
    <n v="65"/>
    <n v="16"/>
    <n v="9"/>
    <n v="7"/>
    <x v="17"/>
    <x v="5"/>
    <x v="77"/>
    <n v="175"/>
    <n v="0.4375"/>
  </r>
  <r>
    <x v="8"/>
    <s v="Pastry"/>
    <s v="P07"/>
    <n v="50"/>
    <n v="70"/>
    <n v="0"/>
    <n v="0"/>
    <n v="0"/>
    <x v="17"/>
    <x v="5"/>
    <x v="17"/>
    <n v="0"/>
    <n v="0"/>
  </r>
  <r>
    <x v="9"/>
    <s v="Pastry"/>
    <s v="P08"/>
    <n v="20"/>
    <n v="30"/>
    <n v="22"/>
    <n v="17"/>
    <n v="5"/>
    <x v="17"/>
    <x v="5"/>
    <x v="22"/>
    <n v="50"/>
    <n v="0.22727272727272727"/>
  </r>
  <r>
    <x v="10"/>
    <s v="Pastry"/>
    <s v="P09"/>
    <n v="10"/>
    <n v="20"/>
    <n v="17"/>
    <n v="17"/>
    <n v="0"/>
    <x v="17"/>
    <x v="5"/>
    <x v="17"/>
    <n v="0"/>
    <n v="0"/>
  </r>
  <r>
    <x v="11"/>
    <s v="Pastry"/>
    <s v="P10"/>
    <n v="60"/>
    <n v="100"/>
    <n v="6"/>
    <n v="4"/>
    <n v="2"/>
    <x v="17"/>
    <x v="5"/>
    <x v="19"/>
    <n v="80"/>
    <n v="0.33333333333333331"/>
  </r>
  <r>
    <x v="12"/>
    <s v="Snack"/>
    <s v="S01"/>
    <n v="50"/>
    <n v="70"/>
    <n v="4"/>
    <n v="2"/>
    <n v="2"/>
    <x v="17"/>
    <x v="5"/>
    <x v="25"/>
    <n v="40"/>
    <n v="0.5"/>
  </r>
  <r>
    <x v="13"/>
    <s v="Snack"/>
    <s v="S02"/>
    <n v="45"/>
    <n v="65"/>
    <n v="0"/>
    <n v="0"/>
    <n v="0"/>
    <x v="17"/>
    <x v="5"/>
    <x v="17"/>
    <n v="0"/>
    <n v="0"/>
  </r>
  <r>
    <x v="14"/>
    <s v="Snack"/>
    <s v="S03"/>
    <n v="50"/>
    <n v="70"/>
    <n v="0"/>
    <n v="0"/>
    <n v="0"/>
    <x v="17"/>
    <x v="5"/>
    <x v="17"/>
    <n v="0"/>
    <n v="0"/>
  </r>
  <r>
    <x v="15"/>
    <s v="Snack"/>
    <s v="S04"/>
    <n v="10"/>
    <n v="15"/>
    <n v="5"/>
    <n v="5"/>
    <n v="0"/>
    <x v="17"/>
    <x v="5"/>
    <x v="17"/>
    <n v="0"/>
    <n v="0"/>
  </r>
  <r>
    <x v="16"/>
    <s v="Snack"/>
    <s v="S05"/>
    <n v="20"/>
    <n v="25"/>
    <n v="5"/>
    <n v="4"/>
    <n v="1"/>
    <x v="17"/>
    <x v="5"/>
    <x v="39"/>
    <n v="5"/>
    <n v="0.2"/>
  </r>
  <r>
    <x v="17"/>
    <s v="Bread Item"/>
    <s v="B01"/>
    <n v="25"/>
    <n v="30"/>
    <n v="10"/>
    <n v="7"/>
    <n v="3"/>
    <x v="17"/>
    <x v="5"/>
    <x v="38"/>
    <n v="15"/>
    <n v="0.3"/>
  </r>
  <r>
    <x v="18"/>
    <s v="Bread Item"/>
    <s v="B02"/>
    <n v="25"/>
    <n v="30"/>
    <n v="7"/>
    <n v="7"/>
    <n v="0"/>
    <x v="17"/>
    <x v="5"/>
    <x v="17"/>
    <n v="0"/>
    <n v="0"/>
  </r>
  <r>
    <x v="19"/>
    <s v="Bread Item"/>
    <s v="B03"/>
    <n v="25"/>
    <n v="30"/>
    <n v="10"/>
    <n v="9"/>
    <n v="1"/>
    <x v="17"/>
    <x v="5"/>
    <x v="32"/>
    <n v="5"/>
    <n v="0.1"/>
  </r>
  <r>
    <x v="20"/>
    <s v="Bread Item"/>
    <s v="B04"/>
    <n v="30"/>
    <n v="35"/>
    <n v="7"/>
    <n v="5"/>
    <n v="2"/>
    <x v="17"/>
    <x v="5"/>
    <x v="20"/>
    <n v="10"/>
    <n v="0.2857142857142857"/>
  </r>
  <r>
    <x v="0"/>
    <s v="Fresh Cream"/>
    <s v="F01"/>
    <n v="100"/>
    <n v="200"/>
    <n v="4"/>
    <n v="4"/>
    <n v="0"/>
    <x v="18"/>
    <x v="6"/>
    <x v="17"/>
    <n v="0"/>
    <n v="0"/>
  </r>
  <r>
    <x v="1"/>
    <s v="Fresh Cream"/>
    <s v="F02"/>
    <n v="200"/>
    <n v="300"/>
    <n v="5"/>
    <n v="0"/>
    <n v="5"/>
    <x v="18"/>
    <x v="6"/>
    <x v="10"/>
    <n v="500"/>
    <n v="1"/>
  </r>
  <r>
    <x v="2"/>
    <s v="Fresh Cream"/>
    <s v="F03"/>
    <n v="150"/>
    <n v="250"/>
    <n v="3"/>
    <n v="3"/>
    <n v="0"/>
    <x v="18"/>
    <x v="6"/>
    <x v="17"/>
    <n v="0"/>
    <n v="0"/>
  </r>
  <r>
    <x v="3"/>
    <s v="Fresh Cream"/>
    <s v="F04"/>
    <n v="100"/>
    <n v="200"/>
    <n v="3"/>
    <n v="2"/>
    <n v="1"/>
    <x v="18"/>
    <x v="6"/>
    <x v="19"/>
    <n v="100"/>
    <n v="0.33333333333333331"/>
  </r>
  <r>
    <x v="0"/>
    <s v="Rich Cream"/>
    <s v="R01"/>
    <n v="250"/>
    <n v="350"/>
    <n v="4"/>
    <n v="2"/>
    <n v="2"/>
    <x v="18"/>
    <x v="6"/>
    <x v="4"/>
    <n v="200"/>
    <n v="0.5"/>
  </r>
  <r>
    <x v="1"/>
    <s v="Rich Cream"/>
    <s v="R02"/>
    <n v="300"/>
    <n v="400"/>
    <n v="4"/>
    <n v="1"/>
    <n v="3"/>
    <x v="18"/>
    <x v="6"/>
    <x v="9"/>
    <n v="300"/>
    <n v="0.75"/>
  </r>
  <r>
    <x v="2"/>
    <s v="Rich Cream"/>
    <s v="R03"/>
    <n v="250"/>
    <n v="350"/>
    <n v="2"/>
    <n v="0"/>
    <n v="2"/>
    <x v="18"/>
    <x v="6"/>
    <x v="4"/>
    <n v="200"/>
    <n v="1"/>
  </r>
  <r>
    <x v="3"/>
    <s v="Rich Cream"/>
    <s v="R04"/>
    <n v="250"/>
    <n v="350"/>
    <n v="1"/>
    <n v="1"/>
    <n v="0"/>
    <x v="18"/>
    <x v="6"/>
    <x v="17"/>
    <n v="0"/>
    <n v="0"/>
  </r>
  <r>
    <x v="4"/>
    <s v="Rich Cream"/>
    <s v="R05"/>
    <n v="300"/>
    <n v="450"/>
    <n v="2"/>
    <n v="0"/>
    <n v="2"/>
    <x v="18"/>
    <x v="6"/>
    <x v="1"/>
    <n v="300"/>
    <n v="1"/>
  </r>
  <r>
    <x v="5"/>
    <s v="Dry Cake"/>
    <s v="D01"/>
    <n v="320"/>
    <n v="400"/>
    <n v="0"/>
    <n v="0"/>
    <n v="0"/>
    <x v="18"/>
    <x v="6"/>
    <x v="17"/>
    <n v="0"/>
    <n v="0"/>
  </r>
  <r>
    <x v="6"/>
    <s v="Dry Cake"/>
    <s v="D02"/>
    <n v="100"/>
    <n v="150"/>
    <n v="3"/>
    <n v="3"/>
    <n v="0"/>
    <x v="18"/>
    <x v="6"/>
    <x v="17"/>
    <n v="0"/>
    <n v="0"/>
  </r>
  <r>
    <x v="0"/>
    <s v="Pastry"/>
    <s v="P01"/>
    <n v="25"/>
    <n v="40"/>
    <n v="15"/>
    <n v="11"/>
    <n v="4"/>
    <x v="18"/>
    <x v="6"/>
    <x v="63"/>
    <n v="60"/>
    <n v="0.26666666666666666"/>
  </r>
  <r>
    <x v="1"/>
    <s v="Pastry"/>
    <s v="P02"/>
    <n v="30"/>
    <n v="50"/>
    <n v="13"/>
    <n v="11"/>
    <n v="2"/>
    <x v="18"/>
    <x v="6"/>
    <x v="33"/>
    <n v="40"/>
    <n v="0.15384615384615385"/>
  </r>
  <r>
    <x v="3"/>
    <s v="Pastry"/>
    <s v="P03"/>
    <n v="25"/>
    <n v="40"/>
    <n v="15"/>
    <n v="10"/>
    <n v="5"/>
    <x v="18"/>
    <x v="6"/>
    <x v="19"/>
    <n v="75"/>
    <n v="0.33333333333333331"/>
  </r>
  <r>
    <x v="2"/>
    <s v="Pastry"/>
    <s v="P04"/>
    <n v="25"/>
    <n v="40"/>
    <n v="9"/>
    <n v="2"/>
    <n v="7"/>
    <x v="18"/>
    <x v="6"/>
    <x v="29"/>
    <n v="105"/>
    <n v="0.77777777777777779"/>
  </r>
  <r>
    <x v="4"/>
    <s v="Pastry"/>
    <s v="P05"/>
    <n v="30"/>
    <n v="55"/>
    <n v="12"/>
    <n v="6"/>
    <n v="6"/>
    <x v="18"/>
    <x v="6"/>
    <x v="78"/>
    <n v="150"/>
    <n v="0.5"/>
  </r>
  <r>
    <x v="7"/>
    <s v="Pastry"/>
    <s v="P06"/>
    <n v="40"/>
    <n v="65"/>
    <n v="9"/>
    <n v="5"/>
    <n v="4"/>
    <x v="18"/>
    <x v="6"/>
    <x v="56"/>
    <n v="100"/>
    <n v="0.44444444444444442"/>
  </r>
  <r>
    <x v="8"/>
    <s v="Pastry"/>
    <s v="P07"/>
    <n v="50"/>
    <n v="70"/>
    <n v="0"/>
    <n v="0"/>
    <n v="0"/>
    <x v="18"/>
    <x v="6"/>
    <x v="17"/>
    <n v="0"/>
    <n v="0"/>
  </r>
  <r>
    <x v="9"/>
    <s v="Pastry"/>
    <s v="P08"/>
    <n v="20"/>
    <n v="30"/>
    <n v="17"/>
    <n v="13"/>
    <n v="4"/>
    <x v="18"/>
    <x v="6"/>
    <x v="28"/>
    <n v="40"/>
    <n v="0.23529411764705882"/>
  </r>
  <r>
    <x v="10"/>
    <s v="Pastry"/>
    <s v="P09"/>
    <n v="10"/>
    <n v="20"/>
    <n v="17"/>
    <n v="8"/>
    <n v="9"/>
    <x v="18"/>
    <x v="6"/>
    <x v="34"/>
    <n v="90"/>
    <n v="0.52941176470588236"/>
  </r>
  <r>
    <x v="11"/>
    <s v="Pastry"/>
    <s v="P10"/>
    <n v="60"/>
    <n v="100"/>
    <n v="4"/>
    <n v="4"/>
    <n v="0"/>
    <x v="18"/>
    <x v="6"/>
    <x v="17"/>
    <n v="0"/>
    <n v="0"/>
  </r>
  <r>
    <x v="12"/>
    <s v="Snack"/>
    <s v="S01"/>
    <n v="50"/>
    <n v="70"/>
    <n v="4"/>
    <n v="2"/>
    <n v="2"/>
    <x v="18"/>
    <x v="6"/>
    <x v="25"/>
    <n v="40"/>
    <n v="0.5"/>
  </r>
  <r>
    <x v="13"/>
    <s v="Snack"/>
    <s v="S02"/>
    <n v="45"/>
    <n v="65"/>
    <n v="0"/>
    <n v="0"/>
    <n v="0"/>
    <x v="18"/>
    <x v="6"/>
    <x v="17"/>
    <n v="0"/>
    <n v="0"/>
  </r>
  <r>
    <x v="14"/>
    <s v="Snack"/>
    <s v="S03"/>
    <n v="50"/>
    <n v="70"/>
    <n v="0"/>
    <n v="0"/>
    <n v="0"/>
    <x v="18"/>
    <x v="6"/>
    <x v="17"/>
    <n v="0"/>
    <n v="0"/>
  </r>
  <r>
    <x v="15"/>
    <s v="Snack"/>
    <s v="S04"/>
    <n v="10"/>
    <n v="15"/>
    <n v="10"/>
    <n v="3"/>
    <n v="7"/>
    <x v="18"/>
    <x v="6"/>
    <x v="45"/>
    <n v="35"/>
    <n v="0.7"/>
  </r>
  <r>
    <x v="16"/>
    <s v="Snack"/>
    <s v="S05"/>
    <n v="20"/>
    <n v="25"/>
    <n v="9"/>
    <n v="4"/>
    <n v="5"/>
    <x v="18"/>
    <x v="6"/>
    <x v="79"/>
    <n v="25"/>
    <n v="0.55555555555555558"/>
  </r>
  <r>
    <x v="17"/>
    <s v="Bread Item"/>
    <s v="B01"/>
    <n v="25"/>
    <n v="30"/>
    <n v="15"/>
    <n v="8"/>
    <n v="7"/>
    <x v="18"/>
    <x v="6"/>
    <x v="24"/>
    <n v="35"/>
    <n v="0.46666666666666667"/>
  </r>
  <r>
    <x v="18"/>
    <s v="Bread Item"/>
    <s v="B02"/>
    <n v="25"/>
    <n v="30"/>
    <n v="7"/>
    <n v="6"/>
    <n v="1"/>
    <x v="18"/>
    <x v="6"/>
    <x v="32"/>
    <n v="5"/>
    <n v="0.14285714285714285"/>
  </r>
  <r>
    <x v="19"/>
    <s v="Bread Item"/>
    <s v="B03"/>
    <n v="25"/>
    <n v="30"/>
    <n v="9"/>
    <n v="4"/>
    <n v="5"/>
    <x v="18"/>
    <x v="6"/>
    <x v="22"/>
    <n v="25"/>
    <n v="0.55555555555555558"/>
  </r>
  <r>
    <x v="20"/>
    <s v="Bread Item"/>
    <s v="B04"/>
    <n v="30"/>
    <n v="35"/>
    <n v="8"/>
    <n v="8"/>
    <n v="0"/>
    <x v="18"/>
    <x v="6"/>
    <x v="17"/>
    <n v="0"/>
    <n v="0"/>
  </r>
  <r>
    <x v="0"/>
    <s v="Fresh Cream"/>
    <s v="F01"/>
    <n v="100"/>
    <n v="200"/>
    <n v="4"/>
    <n v="2"/>
    <n v="2"/>
    <x v="19"/>
    <x v="0"/>
    <x v="0"/>
    <n v="200"/>
    <n v="0.5"/>
  </r>
  <r>
    <x v="1"/>
    <s v="Fresh Cream"/>
    <s v="F02"/>
    <n v="200"/>
    <n v="300"/>
    <n v="0"/>
    <n v="0"/>
    <n v="0"/>
    <x v="19"/>
    <x v="0"/>
    <x v="17"/>
    <n v="0"/>
    <n v="0"/>
  </r>
  <r>
    <x v="2"/>
    <s v="Fresh Cream"/>
    <s v="F03"/>
    <n v="150"/>
    <n v="250"/>
    <n v="3"/>
    <n v="2"/>
    <n v="1"/>
    <x v="19"/>
    <x v="0"/>
    <x v="26"/>
    <n v="100"/>
    <n v="0.33333333333333331"/>
  </r>
  <r>
    <x v="3"/>
    <s v="Fresh Cream"/>
    <s v="F04"/>
    <n v="100"/>
    <n v="200"/>
    <n v="2"/>
    <n v="1"/>
    <n v="1"/>
    <x v="19"/>
    <x v="0"/>
    <x v="19"/>
    <n v="100"/>
    <n v="0.5"/>
  </r>
  <r>
    <x v="0"/>
    <s v="Rich Cream"/>
    <s v="R01"/>
    <n v="250"/>
    <n v="350"/>
    <n v="2"/>
    <n v="2"/>
    <n v="0"/>
    <x v="19"/>
    <x v="0"/>
    <x v="17"/>
    <n v="0"/>
    <n v="0"/>
  </r>
  <r>
    <x v="1"/>
    <s v="Rich Cream"/>
    <s v="R02"/>
    <n v="300"/>
    <n v="400"/>
    <n v="1"/>
    <n v="1"/>
    <n v="0"/>
    <x v="19"/>
    <x v="0"/>
    <x v="17"/>
    <n v="0"/>
    <n v="0"/>
  </r>
  <r>
    <x v="2"/>
    <s v="Rich Cream"/>
    <s v="R03"/>
    <n v="250"/>
    <n v="350"/>
    <n v="0"/>
    <n v="0"/>
    <n v="0"/>
    <x v="19"/>
    <x v="0"/>
    <x v="17"/>
    <n v="0"/>
    <n v="0"/>
  </r>
  <r>
    <x v="3"/>
    <s v="Rich Cream"/>
    <s v="R04"/>
    <n v="250"/>
    <n v="350"/>
    <n v="2"/>
    <n v="2"/>
    <n v="0"/>
    <x v="19"/>
    <x v="0"/>
    <x v="17"/>
    <n v="0"/>
    <n v="0"/>
  </r>
  <r>
    <x v="4"/>
    <s v="Rich Cream"/>
    <s v="R05"/>
    <n v="300"/>
    <n v="450"/>
    <n v="0"/>
    <n v="0"/>
    <n v="0"/>
    <x v="19"/>
    <x v="0"/>
    <x v="17"/>
    <n v="0"/>
    <n v="0"/>
  </r>
  <r>
    <x v="5"/>
    <s v="Dry Cake"/>
    <s v="D01"/>
    <n v="320"/>
    <n v="400"/>
    <n v="0"/>
    <n v="0"/>
    <n v="0"/>
    <x v="19"/>
    <x v="0"/>
    <x v="17"/>
    <n v="0"/>
    <n v="0"/>
  </r>
  <r>
    <x v="6"/>
    <s v="Dry Cake"/>
    <s v="D02"/>
    <n v="100"/>
    <n v="150"/>
    <n v="3"/>
    <n v="3"/>
    <n v="0"/>
    <x v="19"/>
    <x v="0"/>
    <x v="17"/>
    <n v="0"/>
    <n v="0"/>
  </r>
  <r>
    <x v="0"/>
    <s v="Pastry"/>
    <s v="P01"/>
    <n v="25"/>
    <n v="40"/>
    <n v="11"/>
    <n v="11"/>
    <n v="0"/>
    <x v="19"/>
    <x v="0"/>
    <x v="17"/>
    <n v="0"/>
    <n v="0"/>
  </r>
  <r>
    <x v="1"/>
    <s v="Pastry"/>
    <s v="P02"/>
    <n v="30"/>
    <n v="50"/>
    <n v="11"/>
    <n v="11"/>
    <n v="0"/>
    <x v="19"/>
    <x v="0"/>
    <x v="17"/>
    <n v="0"/>
    <n v="0"/>
  </r>
  <r>
    <x v="3"/>
    <s v="Pastry"/>
    <s v="P03"/>
    <n v="25"/>
    <n v="40"/>
    <n v="10"/>
    <n v="8"/>
    <n v="2"/>
    <x v="19"/>
    <x v="0"/>
    <x v="44"/>
    <n v="30"/>
    <n v="0.2"/>
  </r>
  <r>
    <x v="2"/>
    <s v="Pastry"/>
    <s v="P04"/>
    <n v="25"/>
    <n v="40"/>
    <n v="2"/>
    <n v="2"/>
    <n v="0"/>
    <x v="19"/>
    <x v="0"/>
    <x v="17"/>
    <n v="0"/>
    <n v="0"/>
  </r>
  <r>
    <x v="4"/>
    <s v="Pastry"/>
    <s v="P05"/>
    <n v="30"/>
    <n v="55"/>
    <n v="6"/>
    <n v="4"/>
    <n v="2"/>
    <x v="19"/>
    <x v="0"/>
    <x v="55"/>
    <n v="50"/>
    <n v="0.33333333333333331"/>
  </r>
  <r>
    <x v="7"/>
    <s v="Pastry"/>
    <s v="P06"/>
    <n v="40"/>
    <n v="65"/>
    <n v="5"/>
    <n v="4"/>
    <n v="1"/>
    <x v="19"/>
    <x v="0"/>
    <x v="71"/>
    <n v="25"/>
    <n v="0.2"/>
  </r>
  <r>
    <x v="8"/>
    <s v="Pastry"/>
    <s v="P07"/>
    <n v="50"/>
    <n v="70"/>
    <n v="0"/>
    <n v="0"/>
    <n v="0"/>
    <x v="19"/>
    <x v="0"/>
    <x v="17"/>
    <n v="0"/>
    <n v="0"/>
  </r>
  <r>
    <x v="9"/>
    <s v="Pastry"/>
    <s v="P08"/>
    <n v="20"/>
    <n v="30"/>
    <n v="13"/>
    <n v="13"/>
    <n v="0"/>
    <x v="19"/>
    <x v="0"/>
    <x v="17"/>
    <n v="0"/>
    <n v="0"/>
  </r>
  <r>
    <x v="10"/>
    <s v="Pastry"/>
    <s v="P09"/>
    <n v="10"/>
    <n v="20"/>
    <n v="8"/>
    <n v="8"/>
    <n v="0"/>
    <x v="19"/>
    <x v="0"/>
    <x v="17"/>
    <n v="0"/>
    <n v="0"/>
  </r>
  <r>
    <x v="11"/>
    <s v="Pastry"/>
    <s v="P10"/>
    <n v="60"/>
    <n v="100"/>
    <n v="4"/>
    <n v="3"/>
    <n v="1"/>
    <x v="19"/>
    <x v="0"/>
    <x v="33"/>
    <n v="40"/>
    <n v="0.25"/>
  </r>
  <r>
    <x v="12"/>
    <s v="Snack"/>
    <s v="S01"/>
    <n v="50"/>
    <n v="70"/>
    <n v="2"/>
    <n v="2"/>
    <n v="0"/>
    <x v="19"/>
    <x v="0"/>
    <x v="17"/>
    <n v="0"/>
    <n v="0"/>
  </r>
  <r>
    <x v="13"/>
    <s v="Snack"/>
    <s v="S02"/>
    <n v="45"/>
    <n v="65"/>
    <n v="0"/>
    <n v="0"/>
    <n v="0"/>
    <x v="19"/>
    <x v="0"/>
    <x v="17"/>
    <n v="0"/>
    <n v="0"/>
  </r>
  <r>
    <x v="14"/>
    <s v="Snack"/>
    <s v="S03"/>
    <n v="50"/>
    <n v="70"/>
    <n v="0"/>
    <n v="0"/>
    <n v="0"/>
    <x v="19"/>
    <x v="0"/>
    <x v="17"/>
    <n v="0"/>
    <n v="0"/>
  </r>
  <r>
    <x v="15"/>
    <s v="Snack"/>
    <s v="S04"/>
    <n v="10"/>
    <n v="15"/>
    <n v="8"/>
    <n v="8"/>
    <n v="0"/>
    <x v="19"/>
    <x v="0"/>
    <x v="17"/>
    <n v="0"/>
    <n v="0"/>
  </r>
  <r>
    <x v="16"/>
    <s v="Snack"/>
    <s v="S05"/>
    <n v="20"/>
    <n v="25"/>
    <n v="9"/>
    <n v="7"/>
    <n v="2"/>
    <x v="19"/>
    <x v="0"/>
    <x v="41"/>
    <n v="10"/>
    <n v="0.22222222222222221"/>
  </r>
  <r>
    <x v="17"/>
    <s v="Bread Item"/>
    <s v="B01"/>
    <n v="25"/>
    <n v="30"/>
    <n v="8"/>
    <n v="8"/>
    <n v="0"/>
    <x v="19"/>
    <x v="0"/>
    <x v="17"/>
    <n v="0"/>
    <n v="0"/>
  </r>
  <r>
    <x v="18"/>
    <s v="Bread Item"/>
    <s v="B02"/>
    <n v="25"/>
    <n v="30"/>
    <n v="6"/>
    <n v="6"/>
    <n v="0"/>
    <x v="19"/>
    <x v="0"/>
    <x v="17"/>
    <n v="0"/>
    <n v="0"/>
  </r>
  <r>
    <x v="19"/>
    <s v="Bread Item"/>
    <s v="B03"/>
    <n v="25"/>
    <n v="30"/>
    <n v="4"/>
    <n v="4"/>
    <n v="0"/>
    <x v="19"/>
    <x v="0"/>
    <x v="17"/>
    <n v="0"/>
    <n v="0"/>
  </r>
  <r>
    <x v="20"/>
    <s v="Bread Item"/>
    <s v="B04"/>
    <n v="30"/>
    <n v="35"/>
    <n v="8"/>
    <n v="5"/>
    <n v="3"/>
    <x v="19"/>
    <x v="0"/>
    <x v="45"/>
    <n v="15"/>
    <n v="0.375"/>
  </r>
  <r>
    <x v="0"/>
    <s v="Fresh Cream"/>
    <s v="F01"/>
    <n v="100"/>
    <n v="200"/>
    <n v="4"/>
    <n v="1"/>
    <n v="3"/>
    <x v="20"/>
    <x v="1"/>
    <x v="3"/>
    <n v="300"/>
    <n v="0.75"/>
  </r>
  <r>
    <x v="1"/>
    <s v="Fresh Cream"/>
    <s v="F02"/>
    <n v="200"/>
    <n v="300"/>
    <n v="2"/>
    <n v="1"/>
    <n v="1"/>
    <x v="20"/>
    <x v="1"/>
    <x v="62"/>
    <n v="100"/>
    <n v="0.5"/>
  </r>
  <r>
    <x v="2"/>
    <s v="Fresh Cream"/>
    <s v="F03"/>
    <n v="150"/>
    <n v="250"/>
    <n v="2"/>
    <n v="1"/>
    <n v="1"/>
    <x v="20"/>
    <x v="1"/>
    <x v="26"/>
    <n v="100"/>
    <n v="0.5"/>
  </r>
  <r>
    <x v="3"/>
    <s v="Fresh Cream"/>
    <s v="F04"/>
    <n v="100"/>
    <n v="200"/>
    <n v="1"/>
    <n v="1"/>
    <n v="0"/>
    <x v="20"/>
    <x v="1"/>
    <x v="17"/>
    <n v="0"/>
    <n v="0"/>
  </r>
  <r>
    <x v="0"/>
    <s v="Rich Cream"/>
    <s v="R01"/>
    <n v="250"/>
    <n v="350"/>
    <n v="2"/>
    <n v="1"/>
    <n v="1"/>
    <x v="20"/>
    <x v="1"/>
    <x v="7"/>
    <n v="100"/>
    <n v="0.5"/>
  </r>
  <r>
    <x v="1"/>
    <s v="Rich Cream"/>
    <s v="R02"/>
    <n v="300"/>
    <n v="400"/>
    <n v="1"/>
    <n v="0"/>
    <n v="1"/>
    <x v="20"/>
    <x v="1"/>
    <x v="0"/>
    <n v="100"/>
    <n v="1"/>
  </r>
  <r>
    <x v="2"/>
    <s v="Rich Cream"/>
    <s v="R03"/>
    <n v="250"/>
    <n v="350"/>
    <n v="2"/>
    <n v="2"/>
    <n v="0"/>
    <x v="20"/>
    <x v="1"/>
    <x v="17"/>
    <n v="0"/>
    <n v="0"/>
  </r>
  <r>
    <x v="3"/>
    <s v="Rich Cream"/>
    <s v="R04"/>
    <n v="250"/>
    <n v="350"/>
    <n v="2"/>
    <n v="1"/>
    <n v="1"/>
    <x v="20"/>
    <x v="1"/>
    <x v="7"/>
    <n v="100"/>
    <n v="0.5"/>
  </r>
  <r>
    <x v="4"/>
    <s v="Rich Cream"/>
    <s v="R05"/>
    <n v="300"/>
    <n v="450"/>
    <n v="0"/>
    <n v="0"/>
    <n v="0"/>
    <x v="20"/>
    <x v="1"/>
    <x v="17"/>
    <n v="0"/>
    <n v="0"/>
  </r>
  <r>
    <x v="5"/>
    <s v="Dry Cake"/>
    <s v="D01"/>
    <n v="320"/>
    <n v="400"/>
    <n v="0"/>
    <n v="0"/>
    <n v="0"/>
    <x v="20"/>
    <x v="1"/>
    <x v="17"/>
    <n v="0"/>
    <n v="0"/>
  </r>
  <r>
    <x v="6"/>
    <s v="Dry Cake"/>
    <s v="D02"/>
    <n v="100"/>
    <n v="150"/>
    <n v="3"/>
    <n v="3"/>
    <n v="0"/>
    <x v="20"/>
    <x v="1"/>
    <x v="17"/>
    <n v="0"/>
    <n v="0"/>
  </r>
  <r>
    <x v="0"/>
    <s v="Pastry"/>
    <s v="P01"/>
    <n v="25"/>
    <n v="40"/>
    <n v="11"/>
    <n v="3"/>
    <n v="8"/>
    <x v="20"/>
    <x v="1"/>
    <x v="48"/>
    <n v="120"/>
    <n v="0.72727272727272729"/>
  </r>
  <r>
    <x v="1"/>
    <s v="Pastry"/>
    <s v="P02"/>
    <n v="30"/>
    <n v="50"/>
    <n v="11"/>
    <n v="5"/>
    <n v="6"/>
    <x v="20"/>
    <x v="1"/>
    <x v="62"/>
    <n v="120"/>
    <n v="0.54545454545454541"/>
  </r>
  <r>
    <x v="3"/>
    <s v="Pastry"/>
    <s v="P03"/>
    <n v="25"/>
    <n v="40"/>
    <n v="8"/>
    <n v="4"/>
    <n v="4"/>
    <x v="20"/>
    <x v="1"/>
    <x v="63"/>
    <n v="60"/>
    <n v="0.5"/>
  </r>
  <r>
    <x v="2"/>
    <s v="Pastry"/>
    <s v="P04"/>
    <n v="25"/>
    <n v="40"/>
    <n v="2"/>
    <n v="0"/>
    <n v="2"/>
    <x v="20"/>
    <x v="1"/>
    <x v="44"/>
    <n v="30"/>
    <n v="1"/>
  </r>
  <r>
    <x v="4"/>
    <s v="Pastry"/>
    <s v="P05"/>
    <n v="30"/>
    <n v="55"/>
    <n v="4"/>
    <n v="4"/>
    <n v="0"/>
    <x v="20"/>
    <x v="1"/>
    <x v="17"/>
    <n v="0"/>
    <n v="0"/>
  </r>
  <r>
    <x v="7"/>
    <s v="Pastry"/>
    <s v="P06"/>
    <n v="40"/>
    <n v="65"/>
    <n v="4"/>
    <n v="2"/>
    <n v="2"/>
    <x v="20"/>
    <x v="1"/>
    <x v="37"/>
    <n v="50"/>
    <n v="0.5"/>
  </r>
  <r>
    <x v="8"/>
    <s v="Pastry"/>
    <s v="P07"/>
    <n v="50"/>
    <n v="70"/>
    <n v="0"/>
    <n v="0"/>
    <n v="0"/>
    <x v="20"/>
    <x v="1"/>
    <x v="17"/>
    <n v="0"/>
    <n v="0"/>
  </r>
  <r>
    <x v="9"/>
    <s v="Pastry"/>
    <s v="P08"/>
    <n v="20"/>
    <n v="30"/>
    <n v="13"/>
    <n v="11"/>
    <n v="2"/>
    <x v="20"/>
    <x v="1"/>
    <x v="42"/>
    <n v="20"/>
    <n v="0.15384615384615385"/>
  </r>
  <r>
    <x v="10"/>
    <s v="Pastry"/>
    <s v="P09"/>
    <n v="10"/>
    <n v="20"/>
    <n v="8"/>
    <n v="7"/>
    <n v="1"/>
    <x v="20"/>
    <x v="1"/>
    <x v="80"/>
    <n v="10"/>
    <n v="0.125"/>
  </r>
  <r>
    <x v="11"/>
    <s v="Pastry"/>
    <s v="P10"/>
    <n v="60"/>
    <n v="100"/>
    <n v="3"/>
    <n v="3"/>
    <n v="0"/>
    <x v="20"/>
    <x v="1"/>
    <x v="17"/>
    <n v="0"/>
    <n v="0"/>
  </r>
  <r>
    <x v="12"/>
    <s v="Snack"/>
    <s v="S01"/>
    <n v="50"/>
    <n v="70"/>
    <n v="2"/>
    <n v="2"/>
    <n v="0"/>
    <x v="20"/>
    <x v="1"/>
    <x v="17"/>
    <n v="0"/>
    <n v="0"/>
  </r>
  <r>
    <x v="13"/>
    <s v="Snack"/>
    <s v="S02"/>
    <n v="45"/>
    <n v="65"/>
    <n v="0"/>
    <n v="0"/>
    <n v="0"/>
    <x v="20"/>
    <x v="1"/>
    <x v="17"/>
    <n v="0"/>
    <n v="0"/>
  </r>
  <r>
    <x v="14"/>
    <s v="Snack"/>
    <s v="S03"/>
    <n v="50"/>
    <n v="70"/>
    <n v="0"/>
    <n v="0"/>
    <n v="0"/>
    <x v="20"/>
    <x v="1"/>
    <x v="17"/>
    <n v="0"/>
    <n v="0"/>
  </r>
  <r>
    <x v="15"/>
    <s v="Snack"/>
    <s v="S04"/>
    <n v="10"/>
    <n v="15"/>
    <n v="6"/>
    <n v="0"/>
    <n v="6"/>
    <x v="20"/>
    <x v="1"/>
    <x v="38"/>
    <n v="30"/>
    <n v="1"/>
  </r>
  <r>
    <x v="16"/>
    <s v="Snack"/>
    <s v="S05"/>
    <n v="20"/>
    <n v="25"/>
    <n v="7"/>
    <n v="6"/>
    <n v="1"/>
    <x v="20"/>
    <x v="1"/>
    <x v="39"/>
    <n v="5"/>
    <n v="0.14285714285714285"/>
  </r>
  <r>
    <x v="17"/>
    <s v="Bread Item"/>
    <s v="B01"/>
    <n v="25"/>
    <n v="30"/>
    <n v="8"/>
    <n v="7"/>
    <n v="1"/>
    <x v="20"/>
    <x v="1"/>
    <x v="32"/>
    <n v="5"/>
    <n v="0.125"/>
  </r>
  <r>
    <x v="18"/>
    <s v="Bread Item"/>
    <s v="B02"/>
    <n v="25"/>
    <n v="30"/>
    <n v="6"/>
    <n v="3"/>
    <n v="3"/>
    <x v="20"/>
    <x v="1"/>
    <x v="38"/>
    <n v="15"/>
    <n v="0.5"/>
  </r>
  <r>
    <x v="19"/>
    <s v="Bread Item"/>
    <s v="B03"/>
    <n v="25"/>
    <n v="30"/>
    <n v="4"/>
    <n v="3"/>
    <n v="1"/>
    <x v="20"/>
    <x v="1"/>
    <x v="32"/>
    <n v="5"/>
    <n v="0.25"/>
  </r>
  <r>
    <x v="20"/>
    <s v="Bread Item"/>
    <s v="B04"/>
    <n v="30"/>
    <n v="35"/>
    <n v="5"/>
    <n v="3"/>
    <n v="2"/>
    <x v="20"/>
    <x v="1"/>
    <x v="20"/>
    <n v="10"/>
    <n v="0.4"/>
  </r>
  <r>
    <x v="0"/>
    <s v="Fresh Cream"/>
    <s v="F01"/>
    <n v="100"/>
    <n v="200"/>
    <n v="3"/>
    <n v="2"/>
    <n v="1"/>
    <x v="21"/>
    <x v="3"/>
    <x v="19"/>
    <n v="100"/>
    <n v="0.33333333333333331"/>
  </r>
  <r>
    <x v="1"/>
    <s v="Fresh Cream"/>
    <s v="F02"/>
    <n v="200"/>
    <n v="300"/>
    <n v="3"/>
    <n v="1"/>
    <n v="2"/>
    <x v="21"/>
    <x v="3"/>
    <x v="3"/>
    <n v="200"/>
    <n v="0.66666666666666663"/>
  </r>
  <r>
    <x v="2"/>
    <s v="Fresh Cream"/>
    <s v="F03"/>
    <n v="150"/>
    <n v="250"/>
    <n v="3"/>
    <n v="1"/>
    <n v="2"/>
    <x v="21"/>
    <x v="3"/>
    <x v="12"/>
    <n v="200"/>
    <n v="0.66666666666666663"/>
  </r>
  <r>
    <x v="3"/>
    <s v="Fresh Cream"/>
    <s v="F04"/>
    <n v="100"/>
    <n v="200"/>
    <n v="3"/>
    <n v="2"/>
    <n v="1"/>
    <x v="21"/>
    <x v="3"/>
    <x v="19"/>
    <n v="100"/>
    <n v="0.33333333333333331"/>
  </r>
  <r>
    <x v="0"/>
    <s v="Rich Cream"/>
    <s v="R01"/>
    <n v="250"/>
    <n v="350"/>
    <n v="2"/>
    <n v="1"/>
    <n v="1"/>
    <x v="21"/>
    <x v="3"/>
    <x v="7"/>
    <n v="100"/>
    <n v="0.5"/>
  </r>
  <r>
    <x v="1"/>
    <s v="Rich Cream"/>
    <s v="R02"/>
    <n v="300"/>
    <n v="400"/>
    <n v="1"/>
    <n v="1"/>
    <n v="0"/>
    <x v="21"/>
    <x v="3"/>
    <x v="17"/>
    <n v="0"/>
    <n v="0"/>
  </r>
  <r>
    <x v="2"/>
    <s v="Rich Cream"/>
    <s v="R03"/>
    <n v="250"/>
    <n v="350"/>
    <n v="2"/>
    <n v="2"/>
    <n v="0"/>
    <x v="21"/>
    <x v="3"/>
    <x v="17"/>
    <n v="0"/>
    <n v="0"/>
  </r>
  <r>
    <x v="3"/>
    <s v="Rich Cream"/>
    <s v="R04"/>
    <n v="250"/>
    <n v="350"/>
    <n v="2"/>
    <n v="1"/>
    <n v="1"/>
    <x v="21"/>
    <x v="3"/>
    <x v="7"/>
    <n v="100"/>
    <n v="0.5"/>
  </r>
  <r>
    <x v="4"/>
    <s v="Rich Cream"/>
    <s v="R05"/>
    <n v="300"/>
    <n v="450"/>
    <n v="1"/>
    <n v="1"/>
    <n v="0"/>
    <x v="21"/>
    <x v="3"/>
    <x v="17"/>
    <n v="0"/>
    <n v="0"/>
  </r>
  <r>
    <x v="5"/>
    <s v="Dry Cake"/>
    <s v="D01"/>
    <n v="320"/>
    <n v="400"/>
    <n v="0"/>
    <n v="0"/>
    <n v="0"/>
    <x v="21"/>
    <x v="3"/>
    <x v="17"/>
    <n v="0"/>
    <n v="0"/>
  </r>
  <r>
    <x v="6"/>
    <s v="Dry Cake"/>
    <s v="D02"/>
    <n v="100"/>
    <n v="150"/>
    <n v="3"/>
    <n v="3"/>
    <n v="0"/>
    <x v="21"/>
    <x v="3"/>
    <x v="17"/>
    <n v="0"/>
    <n v="0"/>
  </r>
  <r>
    <x v="0"/>
    <s v="Pastry"/>
    <s v="P01"/>
    <n v="25"/>
    <n v="40"/>
    <n v="13"/>
    <n v="13"/>
    <n v="0"/>
    <x v="21"/>
    <x v="3"/>
    <x v="17"/>
    <n v="0"/>
    <n v="0"/>
  </r>
  <r>
    <x v="1"/>
    <s v="Pastry"/>
    <s v="P02"/>
    <n v="30"/>
    <n v="50"/>
    <n v="15"/>
    <n v="12"/>
    <n v="3"/>
    <x v="21"/>
    <x v="3"/>
    <x v="22"/>
    <n v="60"/>
    <n v="0.2"/>
  </r>
  <r>
    <x v="3"/>
    <s v="Pastry"/>
    <s v="P03"/>
    <n v="25"/>
    <n v="40"/>
    <n v="14"/>
    <n v="14"/>
    <n v="0"/>
    <x v="21"/>
    <x v="3"/>
    <x v="17"/>
    <n v="0"/>
    <n v="0"/>
  </r>
  <r>
    <x v="2"/>
    <s v="Pastry"/>
    <s v="P04"/>
    <n v="25"/>
    <n v="40"/>
    <n v="10"/>
    <n v="10"/>
    <n v="0"/>
    <x v="21"/>
    <x v="3"/>
    <x v="17"/>
    <n v="0"/>
    <n v="0"/>
  </r>
  <r>
    <x v="4"/>
    <s v="Pastry"/>
    <s v="P05"/>
    <n v="30"/>
    <n v="55"/>
    <n v="4"/>
    <n v="3"/>
    <n v="1"/>
    <x v="21"/>
    <x v="3"/>
    <x v="30"/>
    <n v="25"/>
    <n v="0.25"/>
  </r>
  <r>
    <x v="7"/>
    <s v="Pastry"/>
    <s v="P06"/>
    <n v="40"/>
    <n v="65"/>
    <n v="22"/>
    <n v="22"/>
    <n v="0"/>
    <x v="21"/>
    <x v="3"/>
    <x v="17"/>
    <n v="0"/>
    <n v="0"/>
  </r>
  <r>
    <x v="8"/>
    <s v="Pastry"/>
    <s v="P07"/>
    <n v="50"/>
    <n v="70"/>
    <n v="0"/>
    <n v="0"/>
    <n v="0"/>
    <x v="21"/>
    <x v="3"/>
    <x v="17"/>
    <n v="0"/>
    <n v="0"/>
  </r>
  <r>
    <x v="9"/>
    <s v="Pastry"/>
    <s v="P08"/>
    <n v="20"/>
    <n v="30"/>
    <n v="11"/>
    <n v="11"/>
    <n v="0"/>
    <x v="21"/>
    <x v="3"/>
    <x v="17"/>
    <n v="0"/>
    <n v="0"/>
  </r>
  <r>
    <x v="10"/>
    <s v="Pastry"/>
    <s v="P09"/>
    <n v="10"/>
    <n v="20"/>
    <n v="7"/>
    <n v="7"/>
    <n v="0"/>
    <x v="21"/>
    <x v="3"/>
    <x v="17"/>
    <n v="0"/>
    <n v="0"/>
  </r>
  <r>
    <x v="11"/>
    <s v="Pastry"/>
    <s v="P10"/>
    <n v="60"/>
    <n v="100"/>
    <n v="3"/>
    <n v="3"/>
    <n v="0"/>
    <x v="21"/>
    <x v="3"/>
    <x v="17"/>
    <n v="0"/>
    <n v="0"/>
  </r>
  <r>
    <x v="12"/>
    <s v="Snack"/>
    <s v="S01"/>
    <n v="50"/>
    <n v="70"/>
    <n v="4"/>
    <n v="4"/>
    <n v="0"/>
    <x v="21"/>
    <x v="3"/>
    <x v="17"/>
    <n v="0"/>
    <n v="0"/>
  </r>
  <r>
    <x v="13"/>
    <s v="Snack"/>
    <s v="S02"/>
    <n v="45"/>
    <n v="65"/>
    <n v="0"/>
    <n v="0"/>
    <n v="0"/>
    <x v="21"/>
    <x v="3"/>
    <x v="17"/>
    <n v="0"/>
    <n v="0"/>
  </r>
  <r>
    <x v="14"/>
    <s v="Snack"/>
    <s v="S03"/>
    <n v="50"/>
    <n v="70"/>
    <n v="0"/>
    <n v="0"/>
    <n v="0"/>
    <x v="21"/>
    <x v="3"/>
    <x v="17"/>
    <n v="0"/>
    <n v="0"/>
  </r>
  <r>
    <x v="15"/>
    <s v="Snack"/>
    <s v="S04"/>
    <n v="10"/>
    <n v="15"/>
    <n v="9"/>
    <n v="4"/>
    <n v="5"/>
    <x v="21"/>
    <x v="3"/>
    <x v="49"/>
    <n v="25"/>
    <n v="0.55555555555555558"/>
  </r>
  <r>
    <x v="16"/>
    <s v="Snack"/>
    <s v="S05"/>
    <n v="20"/>
    <n v="25"/>
    <n v="11"/>
    <n v="11"/>
    <n v="0"/>
    <x v="21"/>
    <x v="3"/>
    <x v="17"/>
    <n v="0"/>
    <n v="0"/>
  </r>
  <r>
    <x v="17"/>
    <s v="Bread Item"/>
    <s v="B01"/>
    <n v="25"/>
    <n v="30"/>
    <n v="17"/>
    <n v="10"/>
    <n v="7"/>
    <x v="21"/>
    <x v="3"/>
    <x v="24"/>
    <n v="35"/>
    <n v="0.41176470588235292"/>
  </r>
  <r>
    <x v="18"/>
    <s v="Bread Item"/>
    <s v="B02"/>
    <n v="25"/>
    <n v="30"/>
    <n v="3"/>
    <n v="1"/>
    <n v="2"/>
    <x v="21"/>
    <x v="3"/>
    <x v="42"/>
    <n v="10"/>
    <n v="0.66666666666666663"/>
  </r>
  <r>
    <x v="19"/>
    <s v="Bread Item"/>
    <s v="B03"/>
    <n v="25"/>
    <n v="30"/>
    <n v="8"/>
    <n v="1"/>
    <n v="7"/>
    <x v="21"/>
    <x v="3"/>
    <x v="24"/>
    <n v="35"/>
    <n v="0.875"/>
  </r>
  <r>
    <x v="20"/>
    <s v="Bread Item"/>
    <s v="B04"/>
    <n v="30"/>
    <n v="35"/>
    <n v="13"/>
    <n v="10"/>
    <n v="3"/>
    <x v="21"/>
    <x v="3"/>
    <x v="45"/>
    <n v="15"/>
    <n v="0.23076923076923078"/>
  </r>
  <r>
    <x v="0"/>
    <s v="Fresh Cream"/>
    <s v="F01"/>
    <n v="100"/>
    <n v="200"/>
    <n v="3"/>
    <n v="3"/>
    <n v="0"/>
    <x v="22"/>
    <x v="4"/>
    <x v="17"/>
    <n v="0"/>
    <n v="0"/>
  </r>
  <r>
    <x v="1"/>
    <s v="Fresh Cream"/>
    <s v="F02"/>
    <n v="200"/>
    <n v="300"/>
    <n v="3"/>
    <n v="3"/>
    <n v="0"/>
    <x v="22"/>
    <x v="4"/>
    <x v="17"/>
    <n v="0"/>
    <n v="0"/>
  </r>
  <r>
    <x v="2"/>
    <s v="Fresh Cream"/>
    <s v="F03"/>
    <n v="150"/>
    <n v="250"/>
    <n v="3"/>
    <n v="2"/>
    <n v="1"/>
    <x v="22"/>
    <x v="4"/>
    <x v="26"/>
    <n v="100"/>
    <n v="0.33333333333333331"/>
  </r>
  <r>
    <x v="3"/>
    <s v="Fresh Cream"/>
    <s v="F04"/>
    <n v="100"/>
    <n v="200"/>
    <n v="2"/>
    <n v="0"/>
    <n v="2"/>
    <x v="22"/>
    <x v="4"/>
    <x v="0"/>
    <n v="200"/>
    <n v="1"/>
  </r>
  <r>
    <x v="0"/>
    <s v="Rich Cream"/>
    <s v="R01"/>
    <n v="250"/>
    <n v="350"/>
    <n v="3"/>
    <n v="3"/>
    <n v="0"/>
    <x v="22"/>
    <x v="4"/>
    <x v="17"/>
    <n v="0"/>
    <n v="0"/>
  </r>
  <r>
    <x v="1"/>
    <s v="Rich Cream"/>
    <s v="R02"/>
    <n v="300"/>
    <n v="400"/>
    <n v="1"/>
    <n v="0"/>
    <n v="1"/>
    <x v="22"/>
    <x v="4"/>
    <x v="0"/>
    <n v="100"/>
    <n v="1"/>
  </r>
  <r>
    <x v="2"/>
    <s v="Rich Cream"/>
    <s v="R03"/>
    <n v="250"/>
    <n v="350"/>
    <n v="3"/>
    <n v="2"/>
    <n v="1"/>
    <x v="22"/>
    <x v="4"/>
    <x v="7"/>
    <n v="100"/>
    <n v="0.33333333333333331"/>
  </r>
  <r>
    <x v="3"/>
    <s v="Rich Cream"/>
    <s v="R04"/>
    <n v="250"/>
    <n v="350"/>
    <n v="2"/>
    <n v="2"/>
    <n v="0"/>
    <x v="22"/>
    <x v="4"/>
    <x v="17"/>
    <n v="0"/>
    <n v="0"/>
  </r>
  <r>
    <x v="4"/>
    <s v="Rich Cream"/>
    <s v="R05"/>
    <n v="300"/>
    <n v="450"/>
    <n v="1"/>
    <n v="1"/>
    <n v="0"/>
    <x v="22"/>
    <x v="4"/>
    <x v="17"/>
    <n v="0"/>
    <n v="0"/>
  </r>
  <r>
    <x v="5"/>
    <s v="Dry Cake"/>
    <s v="D01"/>
    <n v="320"/>
    <n v="400"/>
    <n v="0"/>
    <n v="0"/>
    <n v="0"/>
    <x v="22"/>
    <x v="4"/>
    <x v="17"/>
    <n v="0"/>
    <n v="0"/>
  </r>
  <r>
    <x v="6"/>
    <s v="Dry Cake"/>
    <s v="D02"/>
    <n v="100"/>
    <n v="150"/>
    <n v="3"/>
    <n v="3"/>
    <n v="0"/>
    <x v="22"/>
    <x v="4"/>
    <x v="17"/>
    <n v="0"/>
    <n v="0"/>
  </r>
  <r>
    <x v="0"/>
    <s v="Pastry"/>
    <s v="P01"/>
    <n v="25"/>
    <n v="40"/>
    <n v="13"/>
    <n v="6"/>
    <n v="7"/>
    <x v="22"/>
    <x v="4"/>
    <x v="29"/>
    <n v="105"/>
    <n v="0.53846153846153844"/>
  </r>
  <r>
    <x v="1"/>
    <s v="Pastry"/>
    <s v="P02"/>
    <n v="30"/>
    <n v="50"/>
    <n v="12"/>
    <n v="11"/>
    <n v="1"/>
    <x v="22"/>
    <x v="4"/>
    <x v="41"/>
    <n v="20"/>
    <n v="8.3333333333333329E-2"/>
  </r>
  <r>
    <x v="3"/>
    <s v="Pastry"/>
    <s v="P03"/>
    <n v="25"/>
    <n v="40"/>
    <n v="14"/>
    <n v="13"/>
    <n v="1"/>
    <x v="22"/>
    <x v="4"/>
    <x v="35"/>
    <n v="15"/>
    <n v="7.1428571428571425E-2"/>
  </r>
  <r>
    <x v="2"/>
    <s v="Pastry"/>
    <s v="P04"/>
    <n v="25"/>
    <n v="40"/>
    <n v="10"/>
    <n v="1"/>
    <n v="9"/>
    <x v="22"/>
    <x v="4"/>
    <x v="23"/>
    <n v="135"/>
    <n v="0.9"/>
  </r>
  <r>
    <x v="4"/>
    <s v="Pastry"/>
    <s v="P05"/>
    <n v="30"/>
    <n v="55"/>
    <n v="3"/>
    <n v="1"/>
    <n v="2"/>
    <x v="22"/>
    <x v="4"/>
    <x v="55"/>
    <n v="50"/>
    <n v="0.66666666666666663"/>
  </r>
  <r>
    <x v="7"/>
    <s v="Pastry"/>
    <s v="P06"/>
    <n v="40"/>
    <n v="65"/>
    <n v="22"/>
    <n v="11"/>
    <n v="11"/>
    <x v="22"/>
    <x v="4"/>
    <x v="67"/>
    <n v="275"/>
    <n v="0.5"/>
  </r>
  <r>
    <x v="8"/>
    <s v="Pastry"/>
    <s v="P07"/>
    <n v="50"/>
    <n v="70"/>
    <n v="0"/>
    <n v="0"/>
    <n v="0"/>
    <x v="22"/>
    <x v="4"/>
    <x v="17"/>
    <n v="0"/>
    <n v="0"/>
  </r>
  <r>
    <x v="9"/>
    <s v="Pastry"/>
    <s v="P08"/>
    <n v="20"/>
    <n v="30"/>
    <n v="11"/>
    <n v="11"/>
    <n v="0"/>
    <x v="22"/>
    <x v="4"/>
    <x v="17"/>
    <n v="0"/>
    <n v="0"/>
  </r>
  <r>
    <x v="10"/>
    <s v="Pastry"/>
    <s v="P09"/>
    <n v="10"/>
    <n v="20"/>
    <n v="7"/>
    <n v="7"/>
    <n v="0"/>
    <x v="22"/>
    <x v="4"/>
    <x v="17"/>
    <n v="0"/>
    <n v="0"/>
  </r>
  <r>
    <x v="11"/>
    <s v="Pastry"/>
    <s v="P10"/>
    <n v="60"/>
    <n v="100"/>
    <n v="3"/>
    <n v="3"/>
    <n v="0"/>
    <x v="22"/>
    <x v="4"/>
    <x v="17"/>
    <n v="0"/>
    <n v="0"/>
  </r>
  <r>
    <x v="12"/>
    <s v="Snack"/>
    <s v="S01"/>
    <n v="50"/>
    <n v="70"/>
    <n v="4"/>
    <n v="3"/>
    <n v="1"/>
    <x v="22"/>
    <x v="4"/>
    <x v="20"/>
    <n v="20"/>
    <n v="0.25"/>
  </r>
  <r>
    <x v="13"/>
    <s v="Snack"/>
    <s v="S02"/>
    <n v="45"/>
    <n v="65"/>
    <n v="0"/>
    <n v="0"/>
    <n v="0"/>
    <x v="22"/>
    <x v="4"/>
    <x v="17"/>
    <n v="0"/>
    <n v="0"/>
  </r>
  <r>
    <x v="14"/>
    <s v="Snack"/>
    <s v="S03"/>
    <n v="50"/>
    <n v="70"/>
    <n v="0"/>
    <n v="0"/>
    <n v="0"/>
    <x v="22"/>
    <x v="4"/>
    <x v="17"/>
    <n v="0"/>
    <n v="0"/>
  </r>
  <r>
    <x v="15"/>
    <s v="Snack"/>
    <s v="S04"/>
    <n v="10"/>
    <n v="15"/>
    <n v="4"/>
    <n v="1"/>
    <n v="3"/>
    <x v="22"/>
    <x v="4"/>
    <x v="61"/>
    <n v="15"/>
    <n v="0.75"/>
  </r>
  <r>
    <x v="16"/>
    <s v="Snack"/>
    <s v="S05"/>
    <n v="20"/>
    <n v="25"/>
    <n v="11"/>
    <n v="5"/>
    <n v="6"/>
    <x v="22"/>
    <x v="4"/>
    <x v="22"/>
    <n v="30"/>
    <n v="0.54545454545454541"/>
  </r>
  <r>
    <x v="17"/>
    <s v="Bread Item"/>
    <s v="B01"/>
    <n v="25"/>
    <n v="30"/>
    <n v="10"/>
    <n v="8"/>
    <n v="2"/>
    <x v="22"/>
    <x v="4"/>
    <x v="42"/>
    <n v="10"/>
    <n v="0.2"/>
  </r>
  <r>
    <x v="18"/>
    <s v="Bread Item"/>
    <s v="B02"/>
    <n v="25"/>
    <n v="30"/>
    <n v="6"/>
    <n v="6"/>
    <n v="0"/>
    <x v="22"/>
    <x v="4"/>
    <x v="17"/>
    <n v="0"/>
    <n v="0"/>
  </r>
  <r>
    <x v="19"/>
    <s v="Bread Item"/>
    <s v="B03"/>
    <n v="25"/>
    <n v="30"/>
    <n v="6"/>
    <n v="5"/>
    <n v="1"/>
    <x v="22"/>
    <x v="4"/>
    <x v="32"/>
    <n v="5"/>
    <n v="0.16666666666666666"/>
  </r>
  <r>
    <x v="20"/>
    <s v="Bread Item"/>
    <s v="B04"/>
    <n v="30"/>
    <n v="35"/>
    <n v="10"/>
    <n v="5"/>
    <n v="5"/>
    <x v="22"/>
    <x v="4"/>
    <x v="64"/>
    <n v="25"/>
    <n v="0.5"/>
  </r>
  <r>
    <x v="0"/>
    <s v="Fresh Cream"/>
    <s v="F01"/>
    <n v="100"/>
    <n v="200"/>
    <n v="4"/>
    <n v="1"/>
    <n v="3"/>
    <x v="23"/>
    <x v="5"/>
    <x v="3"/>
    <n v="300"/>
    <n v="0.75"/>
  </r>
  <r>
    <x v="1"/>
    <s v="Fresh Cream"/>
    <s v="F02"/>
    <n v="200"/>
    <n v="300"/>
    <n v="4"/>
    <n v="4"/>
    <n v="0"/>
    <x v="23"/>
    <x v="5"/>
    <x v="17"/>
    <n v="0"/>
    <n v="0"/>
  </r>
  <r>
    <x v="2"/>
    <s v="Fresh Cream"/>
    <s v="F03"/>
    <n v="150"/>
    <n v="250"/>
    <n v="3"/>
    <n v="3"/>
    <n v="0"/>
    <x v="23"/>
    <x v="5"/>
    <x v="17"/>
    <n v="0"/>
    <n v="0"/>
  </r>
  <r>
    <x v="3"/>
    <s v="Fresh Cream"/>
    <s v="F04"/>
    <n v="100"/>
    <n v="200"/>
    <n v="3"/>
    <n v="3"/>
    <n v="0"/>
    <x v="23"/>
    <x v="5"/>
    <x v="17"/>
    <n v="0"/>
    <n v="0"/>
  </r>
  <r>
    <x v="0"/>
    <s v="Rich Cream"/>
    <s v="R01"/>
    <n v="250"/>
    <n v="350"/>
    <n v="3"/>
    <n v="1"/>
    <n v="2"/>
    <x v="23"/>
    <x v="5"/>
    <x v="4"/>
    <n v="200"/>
    <n v="0.66666666666666663"/>
  </r>
  <r>
    <x v="1"/>
    <s v="Rich Cream"/>
    <s v="R02"/>
    <n v="300"/>
    <n v="400"/>
    <n v="0"/>
    <n v="0"/>
    <n v="0"/>
    <x v="23"/>
    <x v="5"/>
    <x v="17"/>
    <n v="0"/>
    <n v="0"/>
  </r>
  <r>
    <x v="2"/>
    <s v="Rich Cream"/>
    <s v="R03"/>
    <n v="250"/>
    <n v="350"/>
    <n v="2"/>
    <n v="2"/>
    <n v="0"/>
    <x v="23"/>
    <x v="5"/>
    <x v="17"/>
    <n v="0"/>
    <n v="0"/>
  </r>
  <r>
    <x v="3"/>
    <s v="Rich Cream"/>
    <s v="R04"/>
    <n v="250"/>
    <n v="350"/>
    <n v="2"/>
    <n v="2"/>
    <n v="0"/>
    <x v="23"/>
    <x v="5"/>
    <x v="17"/>
    <n v="0"/>
    <n v="0"/>
  </r>
  <r>
    <x v="4"/>
    <s v="Rich Cream"/>
    <s v="R05"/>
    <n v="300"/>
    <n v="450"/>
    <n v="1"/>
    <n v="1"/>
    <n v="0"/>
    <x v="23"/>
    <x v="5"/>
    <x v="17"/>
    <n v="0"/>
    <n v="0"/>
  </r>
  <r>
    <x v="5"/>
    <s v="Dry Cake"/>
    <s v="D01"/>
    <n v="320"/>
    <n v="400"/>
    <n v="0"/>
    <n v="0"/>
    <n v="0"/>
    <x v="23"/>
    <x v="5"/>
    <x v="17"/>
    <n v="0"/>
    <n v="0"/>
  </r>
  <r>
    <x v="6"/>
    <s v="Dry Cake"/>
    <s v="D02"/>
    <n v="100"/>
    <n v="150"/>
    <n v="3"/>
    <n v="3"/>
    <n v="0"/>
    <x v="23"/>
    <x v="5"/>
    <x v="17"/>
    <n v="0"/>
    <n v="0"/>
  </r>
  <r>
    <x v="0"/>
    <s v="Pastry"/>
    <s v="P01"/>
    <n v="25"/>
    <n v="40"/>
    <n v="6"/>
    <n v="5"/>
    <n v="1"/>
    <x v="23"/>
    <x v="5"/>
    <x v="35"/>
    <n v="15"/>
    <n v="0.16666666666666666"/>
  </r>
  <r>
    <x v="1"/>
    <s v="Pastry"/>
    <s v="P02"/>
    <n v="30"/>
    <n v="50"/>
    <n v="11"/>
    <n v="10"/>
    <n v="1"/>
    <x v="23"/>
    <x v="5"/>
    <x v="41"/>
    <n v="20"/>
    <n v="9.0909090909090912E-2"/>
  </r>
  <r>
    <x v="3"/>
    <s v="Pastry"/>
    <s v="P03"/>
    <n v="25"/>
    <n v="40"/>
    <n v="13"/>
    <n v="9"/>
    <n v="4"/>
    <x v="23"/>
    <x v="5"/>
    <x v="63"/>
    <n v="60"/>
    <n v="0.30769230769230771"/>
  </r>
  <r>
    <x v="2"/>
    <s v="Pastry"/>
    <s v="P04"/>
    <n v="25"/>
    <n v="40"/>
    <n v="1"/>
    <n v="0"/>
    <n v="1"/>
    <x v="23"/>
    <x v="5"/>
    <x v="35"/>
    <n v="15"/>
    <n v="1"/>
  </r>
  <r>
    <x v="4"/>
    <s v="Pastry"/>
    <s v="P05"/>
    <n v="30"/>
    <n v="55"/>
    <n v="1"/>
    <n v="1"/>
    <n v="0"/>
    <x v="23"/>
    <x v="5"/>
    <x v="17"/>
    <n v="0"/>
    <n v="0"/>
  </r>
  <r>
    <x v="7"/>
    <s v="Pastry"/>
    <s v="P06"/>
    <n v="40"/>
    <n v="65"/>
    <n v="21"/>
    <n v="19"/>
    <n v="2"/>
    <x v="23"/>
    <x v="5"/>
    <x v="37"/>
    <n v="50"/>
    <n v="9.5238095238095233E-2"/>
  </r>
  <r>
    <x v="8"/>
    <s v="Pastry"/>
    <s v="P07"/>
    <n v="50"/>
    <n v="70"/>
    <n v="0"/>
    <n v="0"/>
    <n v="0"/>
    <x v="23"/>
    <x v="5"/>
    <x v="17"/>
    <n v="0"/>
    <n v="0"/>
  </r>
  <r>
    <x v="9"/>
    <s v="Pastry"/>
    <s v="P08"/>
    <n v="20"/>
    <n v="30"/>
    <n v="11"/>
    <n v="11"/>
    <n v="0"/>
    <x v="23"/>
    <x v="5"/>
    <x v="17"/>
    <n v="0"/>
    <n v="0"/>
  </r>
  <r>
    <x v="10"/>
    <s v="Pastry"/>
    <s v="P09"/>
    <n v="10"/>
    <n v="20"/>
    <n v="7"/>
    <n v="7"/>
    <n v="0"/>
    <x v="23"/>
    <x v="5"/>
    <x v="17"/>
    <n v="0"/>
    <n v="0"/>
  </r>
  <r>
    <x v="11"/>
    <s v="Pastry"/>
    <s v="P10"/>
    <n v="60"/>
    <n v="100"/>
    <n v="3"/>
    <n v="3"/>
    <n v="0"/>
    <x v="23"/>
    <x v="5"/>
    <x v="17"/>
    <n v="0"/>
    <n v="0"/>
  </r>
  <r>
    <x v="12"/>
    <s v="Snack"/>
    <s v="S01"/>
    <n v="50"/>
    <n v="70"/>
    <n v="3"/>
    <n v="3"/>
    <n v="0"/>
    <x v="23"/>
    <x v="5"/>
    <x v="17"/>
    <n v="0"/>
    <n v="0"/>
  </r>
  <r>
    <x v="13"/>
    <s v="Snack"/>
    <s v="S02"/>
    <n v="45"/>
    <n v="65"/>
    <n v="0"/>
    <n v="0"/>
    <n v="0"/>
    <x v="23"/>
    <x v="5"/>
    <x v="17"/>
    <n v="0"/>
    <n v="0"/>
  </r>
  <r>
    <x v="14"/>
    <s v="Snack"/>
    <s v="S03"/>
    <n v="50"/>
    <n v="70"/>
    <n v="0"/>
    <n v="0"/>
    <n v="0"/>
    <x v="23"/>
    <x v="5"/>
    <x v="17"/>
    <n v="0"/>
    <n v="0"/>
  </r>
  <r>
    <x v="15"/>
    <s v="Snack"/>
    <s v="S04"/>
    <n v="10"/>
    <n v="15"/>
    <n v="11"/>
    <n v="0"/>
    <n v="11"/>
    <x v="23"/>
    <x v="5"/>
    <x v="40"/>
    <n v="55"/>
    <n v="1"/>
  </r>
  <r>
    <x v="16"/>
    <s v="Snack"/>
    <s v="S05"/>
    <n v="20"/>
    <n v="25"/>
    <n v="10"/>
    <n v="8"/>
    <n v="2"/>
    <x v="23"/>
    <x v="5"/>
    <x v="41"/>
    <n v="10"/>
    <n v="0.2"/>
  </r>
  <r>
    <x v="17"/>
    <s v="Bread Item"/>
    <s v="B01"/>
    <n v="25"/>
    <n v="30"/>
    <n v="8"/>
    <n v="12"/>
    <n v="-4"/>
    <x v="23"/>
    <x v="5"/>
    <x v="81"/>
    <n v="-20"/>
    <n v="-0.5"/>
  </r>
  <r>
    <x v="18"/>
    <s v="Bread Item"/>
    <s v="B02"/>
    <n v="25"/>
    <n v="30"/>
    <n v="6"/>
    <n v="2"/>
    <n v="4"/>
    <x v="23"/>
    <x v="5"/>
    <x v="28"/>
    <n v="20"/>
    <n v="0.66666666666666663"/>
  </r>
  <r>
    <x v="19"/>
    <s v="Bread Item"/>
    <s v="B03"/>
    <n v="25"/>
    <n v="30"/>
    <n v="5"/>
    <n v="5"/>
    <n v="0"/>
    <x v="23"/>
    <x v="5"/>
    <x v="17"/>
    <n v="0"/>
    <n v="0"/>
  </r>
  <r>
    <x v="20"/>
    <s v="Bread Item"/>
    <s v="B04"/>
    <n v="30"/>
    <n v="35"/>
    <n v="15"/>
    <n v="11"/>
    <n v="4"/>
    <x v="23"/>
    <x v="5"/>
    <x v="25"/>
    <n v="20"/>
    <n v="0.26666666666666666"/>
  </r>
  <r>
    <x v="0"/>
    <s v="Fresh Cream"/>
    <s v="F01"/>
    <n v="100"/>
    <n v="200"/>
    <n v="2"/>
    <n v="2"/>
    <n v="0"/>
    <x v="24"/>
    <x v="6"/>
    <x v="17"/>
    <n v="0"/>
    <n v="0"/>
  </r>
  <r>
    <x v="1"/>
    <s v="Fresh Cream"/>
    <s v="F02"/>
    <n v="200"/>
    <n v="300"/>
    <n v="4"/>
    <n v="2"/>
    <n v="2"/>
    <x v="24"/>
    <x v="6"/>
    <x v="3"/>
    <n v="200"/>
    <n v="0.5"/>
  </r>
  <r>
    <x v="2"/>
    <s v="Fresh Cream"/>
    <s v="F03"/>
    <n v="150"/>
    <n v="250"/>
    <n v="3"/>
    <n v="3"/>
    <n v="0"/>
    <x v="24"/>
    <x v="6"/>
    <x v="17"/>
    <n v="0"/>
    <n v="0"/>
  </r>
  <r>
    <x v="3"/>
    <s v="Fresh Cream"/>
    <s v="F04"/>
    <n v="100"/>
    <n v="200"/>
    <n v="3"/>
    <n v="1"/>
    <n v="2"/>
    <x v="24"/>
    <x v="6"/>
    <x v="0"/>
    <n v="200"/>
    <n v="0.66666666666666663"/>
  </r>
  <r>
    <x v="0"/>
    <s v="Rich Cream"/>
    <s v="R01"/>
    <n v="250"/>
    <n v="350"/>
    <n v="1"/>
    <n v="0"/>
    <n v="1"/>
    <x v="24"/>
    <x v="6"/>
    <x v="7"/>
    <n v="100"/>
    <n v="1"/>
  </r>
  <r>
    <x v="1"/>
    <s v="Rich Cream"/>
    <s v="R02"/>
    <n v="300"/>
    <n v="400"/>
    <n v="0"/>
    <n v="0"/>
    <n v="0"/>
    <x v="24"/>
    <x v="6"/>
    <x v="17"/>
    <n v="0"/>
    <n v="0"/>
  </r>
  <r>
    <x v="2"/>
    <s v="Rich Cream"/>
    <s v="R03"/>
    <n v="250"/>
    <n v="350"/>
    <n v="2"/>
    <n v="1"/>
    <n v="1"/>
    <x v="24"/>
    <x v="6"/>
    <x v="7"/>
    <n v="100"/>
    <n v="0.5"/>
  </r>
  <r>
    <x v="3"/>
    <s v="Rich Cream"/>
    <s v="R04"/>
    <n v="250"/>
    <n v="350"/>
    <n v="2"/>
    <n v="1"/>
    <n v="1"/>
    <x v="24"/>
    <x v="6"/>
    <x v="7"/>
    <n v="100"/>
    <n v="0.5"/>
  </r>
  <r>
    <x v="4"/>
    <s v="Rich Cream"/>
    <s v="R05"/>
    <n v="300"/>
    <n v="450"/>
    <n v="1"/>
    <n v="1"/>
    <n v="0"/>
    <x v="24"/>
    <x v="6"/>
    <x v="17"/>
    <n v="0"/>
    <n v="0"/>
  </r>
  <r>
    <x v="5"/>
    <s v="Dry Cake"/>
    <s v="D01"/>
    <n v="320"/>
    <n v="400"/>
    <n v="0"/>
    <n v="0"/>
    <n v="0"/>
    <x v="24"/>
    <x v="6"/>
    <x v="17"/>
    <n v="0"/>
    <n v="0"/>
  </r>
  <r>
    <x v="6"/>
    <s v="Dry Cake"/>
    <s v="D02"/>
    <n v="100"/>
    <n v="150"/>
    <n v="3"/>
    <n v="3"/>
    <n v="0"/>
    <x v="24"/>
    <x v="6"/>
    <x v="17"/>
    <n v="0"/>
    <n v="0"/>
  </r>
  <r>
    <x v="0"/>
    <s v="Pastry"/>
    <s v="P01"/>
    <n v="25"/>
    <n v="40"/>
    <n v="15"/>
    <n v="11"/>
    <n v="4"/>
    <x v="24"/>
    <x v="6"/>
    <x v="63"/>
    <n v="60"/>
    <n v="0.26666666666666666"/>
  </r>
  <r>
    <x v="1"/>
    <s v="Pastry"/>
    <s v="P02"/>
    <n v="30"/>
    <n v="50"/>
    <n v="10"/>
    <n v="2"/>
    <n v="8"/>
    <x v="24"/>
    <x v="6"/>
    <x v="0"/>
    <n v="160"/>
    <n v="0.8"/>
  </r>
  <r>
    <x v="3"/>
    <s v="Pastry"/>
    <s v="P03"/>
    <n v="25"/>
    <n v="40"/>
    <n v="9"/>
    <n v="6"/>
    <n v="3"/>
    <x v="24"/>
    <x v="6"/>
    <x v="28"/>
    <n v="45"/>
    <n v="0.33333333333333331"/>
  </r>
  <r>
    <x v="2"/>
    <s v="Pastry"/>
    <s v="P04"/>
    <n v="25"/>
    <n v="40"/>
    <n v="10"/>
    <n v="10"/>
    <n v="0"/>
    <x v="24"/>
    <x v="6"/>
    <x v="17"/>
    <n v="0"/>
    <n v="0"/>
  </r>
  <r>
    <x v="4"/>
    <s v="Pastry"/>
    <s v="P05"/>
    <n v="30"/>
    <n v="55"/>
    <n v="1"/>
    <n v="0"/>
    <n v="1"/>
    <x v="24"/>
    <x v="6"/>
    <x v="30"/>
    <n v="25"/>
    <n v="1"/>
  </r>
  <r>
    <x v="7"/>
    <s v="Pastry"/>
    <s v="P06"/>
    <n v="40"/>
    <n v="65"/>
    <n v="19"/>
    <n v="6"/>
    <n v="13"/>
    <x v="24"/>
    <x v="6"/>
    <x v="74"/>
    <n v="325"/>
    <n v="0.68421052631578949"/>
  </r>
  <r>
    <x v="8"/>
    <s v="Pastry"/>
    <s v="P07"/>
    <n v="50"/>
    <n v="70"/>
    <n v="0"/>
    <n v="0"/>
    <n v="0"/>
    <x v="24"/>
    <x v="6"/>
    <x v="17"/>
    <n v="0"/>
    <n v="0"/>
  </r>
  <r>
    <x v="9"/>
    <s v="Pastry"/>
    <s v="P08"/>
    <n v="20"/>
    <n v="30"/>
    <n v="11"/>
    <n v="10"/>
    <n v="1"/>
    <x v="24"/>
    <x v="6"/>
    <x v="32"/>
    <n v="10"/>
    <n v="9.0909090909090912E-2"/>
  </r>
  <r>
    <x v="10"/>
    <s v="Pastry"/>
    <s v="P09"/>
    <n v="10"/>
    <n v="20"/>
    <n v="7"/>
    <n v="4"/>
    <n v="3"/>
    <x v="24"/>
    <x v="6"/>
    <x v="42"/>
    <n v="30"/>
    <n v="0.42857142857142855"/>
  </r>
  <r>
    <x v="11"/>
    <s v="Pastry"/>
    <s v="P10"/>
    <n v="60"/>
    <n v="100"/>
    <n v="3"/>
    <n v="2"/>
    <n v="1"/>
    <x v="24"/>
    <x v="6"/>
    <x v="33"/>
    <n v="40"/>
    <n v="0.33333333333333331"/>
  </r>
  <r>
    <x v="12"/>
    <s v="Snack"/>
    <s v="S01"/>
    <n v="50"/>
    <n v="70"/>
    <n v="3"/>
    <n v="0"/>
    <n v="3"/>
    <x v="24"/>
    <x v="6"/>
    <x v="24"/>
    <n v="60"/>
    <n v="1"/>
  </r>
  <r>
    <x v="13"/>
    <s v="Snack"/>
    <s v="S02"/>
    <n v="45"/>
    <n v="65"/>
    <n v="0"/>
    <n v="0"/>
    <n v="0"/>
    <x v="24"/>
    <x v="6"/>
    <x v="17"/>
    <n v="0"/>
    <n v="0"/>
  </r>
  <r>
    <x v="14"/>
    <s v="Snack"/>
    <s v="S03"/>
    <n v="50"/>
    <n v="70"/>
    <n v="0"/>
    <n v="0"/>
    <n v="0"/>
    <x v="24"/>
    <x v="6"/>
    <x v="17"/>
    <n v="0"/>
    <n v="0"/>
  </r>
  <r>
    <x v="15"/>
    <s v="Snack"/>
    <s v="S04"/>
    <n v="10"/>
    <n v="15"/>
    <n v="10"/>
    <n v="7"/>
    <n v="3"/>
    <x v="24"/>
    <x v="6"/>
    <x v="61"/>
    <n v="15"/>
    <n v="0.3"/>
  </r>
  <r>
    <x v="16"/>
    <s v="Snack"/>
    <s v="S05"/>
    <n v="20"/>
    <n v="25"/>
    <n v="8"/>
    <n v="3"/>
    <n v="5"/>
    <x v="24"/>
    <x v="6"/>
    <x v="79"/>
    <n v="25"/>
    <n v="0.625"/>
  </r>
  <r>
    <x v="17"/>
    <s v="Bread Item"/>
    <s v="B01"/>
    <n v="25"/>
    <n v="30"/>
    <n v="12"/>
    <n v="10"/>
    <n v="2"/>
    <x v="24"/>
    <x v="6"/>
    <x v="42"/>
    <n v="10"/>
    <n v="0.16666666666666666"/>
  </r>
  <r>
    <x v="18"/>
    <s v="Bread Item"/>
    <s v="B02"/>
    <n v="25"/>
    <n v="30"/>
    <n v="2"/>
    <n v="2"/>
    <n v="0"/>
    <x v="24"/>
    <x v="6"/>
    <x v="17"/>
    <n v="0"/>
    <n v="0"/>
  </r>
  <r>
    <x v="19"/>
    <s v="Bread Item"/>
    <s v="B03"/>
    <n v="25"/>
    <n v="30"/>
    <n v="5"/>
    <n v="5"/>
    <n v="0"/>
    <x v="24"/>
    <x v="6"/>
    <x v="17"/>
    <n v="0"/>
    <n v="0"/>
  </r>
  <r>
    <x v="20"/>
    <s v="Bread Item"/>
    <s v="B04"/>
    <n v="30"/>
    <n v="35"/>
    <n v="20"/>
    <n v="10"/>
    <n v="10"/>
    <x v="24"/>
    <x v="6"/>
    <x v="7"/>
    <n v="50"/>
    <n v="0.5"/>
  </r>
  <r>
    <x v="0"/>
    <s v="Fresh Cream"/>
    <s v="F01"/>
    <n v="100"/>
    <n v="200"/>
    <n v="2"/>
    <n v="0"/>
    <n v="2"/>
    <x v="25"/>
    <x v="0"/>
    <x v="0"/>
    <n v="200"/>
    <n v="1"/>
  </r>
  <r>
    <x v="1"/>
    <s v="Fresh Cream"/>
    <s v="F02"/>
    <n v="200"/>
    <n v="300"/>
    <n v="2"/>
    <n v="2"/>
    <n v="0"/>
    <x v="25"/>
    <x v="0"/>
    <x v="17"/>
    <n v="0"/>
    <n v="0"/>
  </r>
  <r>
    <x v="2"/>
    <s v="Fresh Cream"/>
    <s v="F03"/>
    <n v="150"/>
    <n v="250"/>
    <n v="3"/>
    <n v="2"/>
    <n v="1"/>
    <x v="25"/>
    <x v="0"/>
    <x v="26"/>
    <n v="100"/>
    <n v="0.33333333333333331"/>
  </r>
  <r>
    <x v="3"/>
    <s v="Fresh Cream"/>
    <s v="F04"/>
    <n v="100"/>
    <n v="200"/>
    <n v="1"/>
    <n v="1"/>
    <n v="0"/>
    <x v="25"/>
    <x v="0"/>
    <x v="17"/>
    <n v="0"/>
    <n v="0"/>
  </r>
  <r>
    <x v="0"/>
    <s v="Rich Cream"/>
    <s v="R01"/>
    <n v="250"/>
    <n v="350"/>
    <n v="2"/>
    <n v="1"/>
    <n v="1"/>
    <x v="25"/>
    <x v="0"/>
    <x v="7"/>
    <n v="100"/>
    <n v="0.5"/>
  </r>
  <r>
    <x v="1"/>
    <s v="Rich Cream"/>
    <s v="R02"/>
    <n v="300"/>
    <n v="400"/>
    <n v="1"/>
    <n v="1"/>
    <n v="0"/>
    <x v="25"/>
    <x v="0"/>
    <x v="17"/>
    <n v="0"/>
    <n v="0"/>
  </r>
  <r>
    <x v="2"/>
    <s v="Rich Cream"/>
    <s v="R03"/>
    <n v="250"/>
    <n v="350"/>
    <n v="2"/>
    <n v="1"/>
    <n v="1"/>
    <x v="25"/>
    <x v="0"/>
    <x v="7"/>
    <n v="100"/>
    <n v="0.5"/>
  </r>
  <r>
    <x v="3"/>
    <s v="Rich Cream"/>
    <s v="R04"/>
    <n v="250"/>
    <n v="350"/>
    <n v="1"/>
    <n v="1"/>
    <n v="0"/>
    <x v="25"/>
    <x v="0"/>
    <x v="17"/>
    <n v="0"/>
    <n v="0"/>
  </r>
  <r>
    <x v="4"/>
    <s v="Rich Cream"/>
    <s v="R05"/>
    <n v="300"/>
    <n v="450"/>
    <n v="1"/>
    <n v="0"/>
    <n v="1"/>
    <x v="25"/>
    <x v="0"/>
    <x v="8"/>
    <n v="150"/>
    <n v="1"/>
  </r>
  <r>
    <x v="5"/>
    <s v="Dry Cake"/>
    <s v="D01"/>
    <n v="320"/>
    <n v="400"/>
    <n v="0"/>
    <n v="0"/>
    <n v="0"/>
    <x v="25"/>
    <x v="0"/>
    <x v="17"/>
    <n v="0"/>
    <n v="0"/>
  </r>
  <r>
    <x v="6"/>
    <s v="Dry Cake"/>
    <s v="D02"/>
    <n v="100"/>
    <n v="150"/>
    <n v="3"/>
    <n v="3"/>
    <n v="0"/>
    <x v="25"/>
    <x v="0"/>
    <x v="17"/>
    <n v="0"/>
    <n v="0"/>
  </r>
  <r>
    <x v="0"/>
    <s v="Pastry"/>
    <s v="P01"/>
    <n v="25"/>
    <n v="40"/>
    <n v="11"/>
    <n v="5"/>
    <n v="6"/>
    <x v="25"/>
    <x v="0"/>
    <x v="47"/>
    <n v="90"/>
    <n v="0.54545454545454541"/>
  </r>
  <r>
    <x v="1"/>
    <s v="Pastry"/>
    <s v="P02"/>
    <n v="30"/>
    <n v="50"/>
    <n v="2"/>
    <n v="0"/>
    <n v="2"/>
    <x v="25"/>
    <x v="0"/>
    <x v="33"/>
    <n v="40"/>
    <n v="1"/>
  </r>
  <r>
    <x v="3"/>
    <s v="Pastry"/>
    <s v="P03"/>
    <n v="25"/>
    <n v="40"/>
    <n v="6"/>
    <n v="6"/>
    <n v="0"/>
    <x v="25"/>
    <x v="0"/>
    <x v="17"/>
    <n v="0"/>
    <n v="0"/>
  </r>
  <r>
    <x v="2"/>
    <s v="Pastry"/>
    <s v="P04"/>
    <n v="25"/>
    <n v="40"/>
    <n v="10"/>
    <n v="4"/>
    <n v="6"/>
    <x v="25"/>
    <x v="0"/>
    <x v="47"/>
    <n v="90"/>
    <n v="0.6"/>
  </r>
  <r>
    <x v="4"/>
    <s v="Pastry"/>
    <s v="P05"/>
    <n v="30"/>
    <n v="55"/>
    <n v="0"/>
    <n v="0"/>
    <n v="0"/>
    <x v="25"/>
    <x v="0"/>
    <x v="17"/>
    <n v="0"/>
    <n v="0"/>
  </r>
  <r>
    <x v="7"/>
    <s v="Pastry"/>
    <s v="P06"/>
    <n v="40"/>
    <n v="65"/>
    <n v="6"/>
    <n v="5"/>
    <n v="1"/>
    <x v="25"/>
    <x v="0"/>
    <x v="71"/>
    <n v="25"/>
    <n v="0.16666666666666666"/>
  </r>
  <r>
    <x v="8"/>
    <s v="Pastry"/>
    <s v="P07"/>
    <n v="50"/>
    <n v="70"/>
    <n v="0"/>
    <n v="0"/>
    <n v="0"/>
    <x v="25"/>
    <x v="0"/>
    <x v="17"/>
    <n v="0"/>
    <n v="0"/>
  </r>
  <r>
    <x v="9"/>
    <s v="Pastry"/>
    <s v="P08"/>
    <n v="20"/>
    <n v="30"/>
    <n v="10"/>
    <n v="10"/>
    <n v="0"/>
    <x v="25"/>
    <x v="0"/>
    <x v="17"/>
    <n v="0"/>
    <n v="0"/>
  </r>
  <r>
    <x v="10"/>
    <s v="Pastry"/>
    <s v="P09"/>
    <n v="10"/>
    <n v="20"/>
    <n v="4"/>
    <n v="4"/>
    <n v="0"/>
    <x v="25"/>
    <x v="0"/>
    <x v="17"/>
    <n v="0"/>
    <n v="0"/>
  </r>
  <r>
    <x v="11"/>
    <s v="Pastry"/>
    <s v="P10"/>
    <n v="60"/>
    <n v="100"/>
    <n v="2"/>
    <n v="2"/>
    <n v="0"/>
    <x v="25"/>
    <x v="0"/>
    <x v="17"/>
    <n v="0"/>
    <n v="0"/>
  </r>
  <r>
    <x v="12"/>
    <s v="Snack"/>
    <s v="S01"/>
    <n v="50"/>
    <n v="70"/>
    <n v="0"/>
    <n v="0"/>
    <n v="0"/>
    <x v="25"/>
    <x v="0"/>
    <x v="17"/>
    <n v="0"/>
    <n v="0"/>
  </r>
  <r>
    <x v="13"/>
    <s v="Snack"/>
    <s v="S02"/>
    <n v="45"/>
    <n v="65"/>
    <n v="0"/>
    <n v="0"/>
    <n v="0"/>
    <x v="25"/>
    <x v="0"/>
    <x v="17"/>
    <n v="0"/>
    <n v="0"/>
  </r>
  <r>
    <x v="14"/>
    <s v="Snack"/>
    <s v="S03"/>
    <n v="50"/>
    <n v="70"/>
    <n v="0"/>
    <n v="0"/>
    <n v="0"/>
    <x v="25"/>
    <x v="0"/>
    <x v="17"/>
    <n v="0"/>
    <n v="0"/>
  </r>
  <r>
    <x v="15"/>
    <s v="Snack"/>
    <s v="S04"/>
    <n v="10"/>
    <n v="15"/>
    <n v="7"/>
    <n v="2"/>
    <n v="5"/>
    <x v="25"/>
    <x v="0"/>
    <x v="49"/>
    <n v="25"/>
    <n v="0.7142857142857143"/>
  </r>
  <r>
    <x v="16"/>
    <s v="Snack"/>
    <s v="S05"/>
    <n v="20"/>
    <n v="25"/>
    <n v="3"/>
    <n v="1"/>
    <n v="2"/>
    <x v="25"/>
    <x v="0"/>
    <x v="41"/>
    <n v="10"/>
    <n v="0.66666666666666663"/>
  </r>
  <r>
    <x v="17"/>
    <s v="Bread Item"/>
    <s v="B01"/>
    <n v="25"/>
    <n v="30"/>
    <n v="10"/>
    <n v="5"/>
    <n v="5"/>
    <x v="25"/>
    <x v="0"/>
    <x v="22"/>
    <n v="25"/>
    <n v="0.5"/>
  </r>
  <r>
    <x v="18"/>
    <s v="Bread Item"/>
    <s v="B02"/>
    <n v="25"/>
    <n v="30"/>
    <n v="2"/>
    <n v="2"/>
    <n v="0"/>
    <x v="25"/>
    <x v="0"/>
    <x v="17"/>
    <n v="0"/>
    <n v="0"/>
  </r>
  <r>
    <x v="19"/>
    <s v="Bread Item"/>
    <s v="B03"/>
    <n v="25"/>
    <n v="30"/>
    <n v="5"/>
    <n v="3"/>
    <n v="2"/>
    <x v="25"/>
    <x v="0"/>
    <x v="42"/>
    <n v="10"/>
    <n v="0.4"/>
  </r>
  <r>
    <x v="20"/>
    <s v="Bread Item"/>
    <s v="B04"/>
    <n v="30"/>
    <n v="35"/>
    <n v="10"/>
    <n v="7"/>
    <n v="3"/>
    <x v="25"/>
    <x v="0"/>
    <x v="45"/>
    <n v="15"/>
    <n v="0.3"/>
  </r>
  <r>
    <x v="0"/>
    <s v="Fresh Cream"/>
    <s v="F01"/>
    <n v="100"/>
    <n v="200"/>
    <n v="0"/>
    <n v="1"/>
    <n v="-1"/>
    <x v="26"/>
    <x v="1"/>
    <x v="82"/>
    <n v="-100"/>
    <n v="0"/>
  </r>
  <r>
    <x v="1"/>
    <s v="Fresh Cream"/>
    <s v="F02"/>
    <n v="200"/>
    <n v="300"/>
    <n v="2"/>
    <n v="2"/>
    <n v="0"/>
    <x v="26"/>
    <x v="1"/>
    <x v="17"/>
    <n v="0"/>
    <n v="0"/>
  </r>
  <r>
    <x v="2"/>
    <s v="Fresh Cream"/>
    <s v="F03"/>
    <n v="150"/>
    <n v="250"/>
    <n v="2"/>
    <n v="2"/>
    <n v="0"/>
    <x v="26"/>
    <x v="1"/>
    <x v="17"/>
    <n v="0"/>
    <n v="0"/>
  </r>
  <r>
    <x v="3"/>
    <s v="Fresh Cream"/>
    <s v="F04"/>
    <n v="100"/>
    <n v="200"/>
    <n v="1"/>
    <n v="0"/>
    <n v="1"/>
    <x v="26"/>
    <x v="1"/>
    <x v="19"/>
    <n v="100"/>
    <n v="1"/>
  </r>
  <r>
    <x v="0"/>
    <s v="Rich Cream"/>
    <s v="R01"/>
    <n v="250"/>
    <n v="350"/>
    <n v="2"/>
    <n v="2"/>
    <n v="0"/>
    <x v="26"/>
    <x v="1"/>
    <x v="17"/>
    <n v="0"/>
    <n v="0"/>
  </r>
  <r>
    <x v="1"/>
    <s v="Rich Cream"/>
    <s v="R02"/>
    <n v="300"/>
    <n v="400"/>
    <n v="1"/>
    <n v="1"/>
    <n v="0"/>
    <x v="26"/>
    <x v="1"/>
    <x v="17"/>
    <n v="0"/>
    <n v="0"/>
  </r>
  <r>
    <x v="2"/>
    <s v="Rich Cream"/>
    <s v="R03"/>
    <n v="250"/>
    <n v="350"/>
    <n v="2"/>
    <n v="2"/>
    <n v="0"/>
    <x v="26"/>
    <x v="1"/>
    <x v="17"/>
    <n v="0"/>
    <n v="0"/>
  </r>
  <r>
    <x v="3"/>
    <s v="Rich Cream"/>
    <s v="R04"/>
    <n v="250"/>
    <n v="350"/>
    <n v="1"/>
    <n v="0"/>
    <n v="1"/>
    <x v="26"/>
    <x v="1"/>
    <x v="7"/>
    <n v="100"/>
    <n v="1"/>
  </r>
  <r>
    <x v="4"/>
    <s v="Rich Cream"/>
    <s v="R05"/>
    <n v="300"/>
    <n v="450"/>
    <n v="1"/>
    <n v="1"/>
    <n v="0"/>
    <x v="26"/>
    <x v="1"/>
    <x v="17"/>
    <n v="0"/>
    <n v="0"/>
  </r>
  <r>
    <x v="5"/>
    <s v="Dry Cake"/>
    <s v="D01"/>
    <n v="320"/>
    <n v="400"/>
    <n v="0"/>
    <n v="0"/>
    <n v="0"/>
    <x v="26"/>
    <x v="1"/>
    <x v="17"/>
    <n v="0"/>
    <n v="0"/>
  </r>
  <r>
    <x v="6"/>
    <s v="Dry Cake"/>
    <s v="D02"/>
    <n v="100"/>
    <n v="150"/>
    <n v="3"/>
    <n v="3"/>
    <n v="0"/>
    <x v="26"/>
    <x v="1"/>
    <x v="17"/>
    <n v="0"/>
    <n v="0"/>
  </r>
  <r>
    <x v="0"/>
    <s v="Pastry"/>
    <s v="P01"/>
    <n v="25"/>
    <n v="40"/>
    <n v="8"/>
    <n v="8"/>
    <n v="0"/>
    <x v="26"/>
    <x v="1"/>
    <x v="17"/>
    <n v="0"/>
    <n v="0"/>
  </r>
  <r>
    <x v="1"/>
    <s v="Pastry"/>
    <s v="P02"/>
    <n v="30"/>
    <n v="50"/>
    <n v="10"/>
    <n v="6"/>
    <n v="4"/>
    <x v="26"/>
    <x v="1"/>
    <x v="19"/>
    <n v="80"/>
    <n v="0.4"/>
  </r>
  <r>
    <x v="3"/>
    <s v="Pastry"/>
    <s v="P03"/>
    <n v="25"/>
    <n v="40"/>
    <n v="6"/>
    <n v="5"/>
    <n v="1"/>
    <x v="26"/>
    <x v="1"/>
    <x v="35"/>
    <n v="15"/>
    <n v="0.16666666666666666"/>
  </r>
  <r>
    <x v="2"/>
    <s v="Pastry"/>
    <s v="P04"/>
    <n v="25"/>
    <n v="40"/>
    <n v="14"/>
    <n v="11"/>
    <n v="3"/>
    <x v="26"/>
    <x v="1"/>
    <x v="28"/>
    <n v="45"/>
    <n v="0.21428571428571427"/>
  </r>
  <r>
    <x v="4"/>
    <s v="Pastry"/>
    <s v="P05"/>
    <n v="30"/>
    <n v="55"/>
    <n v="0"/>
    <n v="0"/>
    <n v="0"/>
    <x v="26"/>
    <x v="1"/>
    <x v="17"/>
    <n v="0"/>
    <n v="0"/>
  </r>
  <r>
    <x v="7"/>
    <s v="Pastry"/>
    <s v="P06"/>
    <n v="40"/>
    <n v="65"/>
    <n v="15"/>
    <n v="10"/>
    <n v="5"/>
    <x v="26"/>
    <x v="1"/>
    <x v="83"/>
    <n v="125"/>
    <n v="0.33333333333333331"/>
  </r>
  <r>
    <x v="8"/>
    <s v="Pastry"/>
    <s v="P07"/>
    <n v="50"/>
    <n v="70"/>
    <n v="0"/>
    <n v="0"/>
    <n v="0"/>
    <x v="26"/>
    <x v="1"/>
    <x v="17"/>
    <n v="0"/>
    <n v="0"/>
  </r>
  <r>
    <x v="9"/>
    <s v="Pastry"/>
    <s v="P08"/>
    <n v="20"/>
    <n v="30"/>
    <n v="10"/>
    <n v="8"/>
    <n v="2"/>
    <x v="26"/>
    <x v="1"/>
    <x v="42"/>
    <n v="20"/>
    <n v="0.2"/>
  </r>
  <r>
    <x v="10"/>
    <s v="Pastry"/>
    <s v="P09"/>
    <n v="10"/>
    <n v="20"/>
    <n v="4"/>
    <n v="4"/>
    <n v="0"/>
    <x v="26"/>
    <x v="1"/>
    <x v="17"/>
    <n v="0"/>
    <n v="0"/>
  </r>
  <r>
    <x v="11"/>
    <s v="Pastry"/>
    <s v="P10"/>
    <n v="60"/>
    <n v="100"/>
    <n v="2"/>
    <n v="1"/>
    <n v="1"/>
    <x v="26"/>
    <x v="1"/>
    <x v="33"/>
    <n v="40"/>
    <n v="0.5"/>
  </r>
  <r>
    <x v="12"/>
    <s v="Snack"/>
    <s v="S01"/>
    <n v="50"/>
    <n v="70"/>
    <n v="0"/>
    <n v="0"/>
    <n v="0"/>
    <x v="26"/>
    <x v="1"/>
    <x v="17"/>
    <n v="0"/>
    <n v="0"/>
  </r>
  <r>
    <x v="13"/>
    <s v="Snack"/>
    <s v="S02"/>
    <n v="45"/>
    <n v="65"/>
    <n v="0"/>
    <n v="0"/>
    <n v="0"/>
    <x v="26"/>
    <x v="1"/>
    <x v="17"/>
    <n v="0"/>
    <n v="0"/>
  </r>
  <r>
    <x v="14"/>
    <s v="Snack"/>
    <s v="S03"/>
    <n v="50"/>
    <n v="70"/>
    <n v="0"/>
    <n v="0"/>
    <n v="0"/>
    <x v="26"/>
    <x v="1"/>
    <x v="17"/>
    <n v="0"/>
    <n v="0"/>
  </r>
  <r>
    <x v="15"/>
    <s v="Snack"/>
    <s v="S04"/>
    <n v="10"/>
    <n v="15"/>
    <n v="7"/>
    <n v="5"/>
    <n v="2"/>
    <x v="26"/>
    <x v="1"/>
    <x v="32"/>
    <n v="10"/>
    <n v="0.2857142857142857"/>
  </r>
  <r>
    <x v="16"/>
    <s v="Snack"/>
    <s v="S05"/>
    <n v="20"/>
    <n v="25"/>
    <n v="6"/>
    <n v="2"/>
    <n v="4"/>
    <x v="26"/>
    <x v="1"/>
    <x v="33"/>
    <n v="20"/>
    <n v="0.66666666666666663"/>
  </r>
  <r>
    <x v="17"/>
    <s v="Bread Item"/>
    <s v="B01"/>
    <n v="25"/>
    <n v="30"/>
    <n v="10"/>
    <n v="6"/>
    <n v="4"/>
    <x v="26"/>
    <x v="1"/>
    <x v="28"/>
    <n v="20"/>
    <n v="0.4"/>
  </r>
  <r>
    <x v="18"/>
    <s v="Bread Item"/>
    <s v="B02"/>
    <n v="25"/>
    <n v="30"/>
    <n v="2"/>
    <n v="1"/>
    <n v="1"/>
    <x v="26"/>
    <x v="1"/>
    <x v="32"/>
    <n v="5"/>
    <n v="0.5"/>
  </r>
  <r>
    <x v="19"/>
    <s v="Bread Item"/>
    <s v="B03"/>
    <n v="25"/>
    <n v="30"/>
    <n v="3"/>
    <n v="1"/>
    <n v="2"/>
    <x v="26"/>
    <x v="1"/>
    <x v="42"/>
    <n v="10"/>
    <n v="0.66666666666666663"/>
  </r>
  <r>
    <x v="20"/>
    <s v="Bread Item"/>
    <s v="B04"/>
    <n v="30"/>
    <n v="35"/>
    <n v="12"/>
    <n v="3"/>
    <n v="9"/>
    <x v="26"/>
    <x v="1"/>
    <x v="84"/>
    <n v="45"/>
    <n v="0.75"/>
  </r>
  <r>
    <x v="0"/>
    <s v="Fresh Cream"/>
    <s v="F01"/>
    <n v="100"/>
    <n v="200"/>
    <n v="4"/>
    <n v="0"/>
    <n v="2"/>
    <x v="27"/>
    <x v="3"/>
    <x v="0"/>
    <n v="200"/>
    <n v="0.5"/>
  </r>
  <r>
    <x v="1"/>
    <s v="Fresh Cream"/>
    <s v="F02"/>
    <n v="200"/>
    <n v="300"/>
    <n v="4"/>
    <n v="2"/>
    <n v="2"/>
    <x v="27"/>
    <x v="3"/>
    <x v="3"/>
    <n v="200"/>
    <n v="0.5"/>
  </r>
  <r>
    <x v="2"/>
    <s v="Fresh Cream"/>
    <s v="F03"/>
    <n v="150"/>
    <n v="250"/>
    <n v="4"/>
    <n v="1"/>
    <n v="3"/>
    <x v="27"/>
    <x v="3"/>
    <x v="2"/>
    <n v="300"/>
    <n v="0.75"/>
  </r>
  <r>
    <x v="3"/>
    <s v="Fresh Cream"/>
    <s v="F04"/>
    <n v="100"/>
    <n v="200"/>
    <n v="2"/>
    <n v="1"/>
    <n v="1"/>
    <x v="27"/>
    <x v="3"/>
    <x v="19"/>
    <n v="100"/>
    <n v="0.5"/>
  </r>
  <r>
    <x v="0"/>
    <s v="Rich Cream"/>
    <s v="R01"/>
    <n v="250"/>
    <n v="350"/>
    <n v="2"/>
    <n v="2"/>
    <n v="0"/>
    <x v="27"/>
    <x v="3"/>
    <x v="17"/>
    <n v="0"/>
    <n v="0"/>
  </r>
  <r>
    <x v="1"/>
    <s v="Rich Cream"/>
    <s v="R02"/>
    <n v="300"/>
    <n v="400"/>
    <n v="1"/>
    <n v="1"/>
    <n v="0"/>
    <x v="27"/>
    <x v="3"/>
    <x v="17"/>
    <n v="0"/>
    <n v="0"/>
  </r>
  <r>
    <x v="2"/>
    <s v="Rich Cream"/>
    <s v="R03"/>
    <n v="250"/>
    <n v="350"/>
    <n v="2"/>
    <n v="1"/>
    <n v="1"/>
    <x v="27"/>
    <x v="3"/>
    <x v="7"/>
    <n v="100"/>
    <n v="0.5"/>
  </r>
  <r>
    <x v="3"/>
    <s v="Rich Cream"/>
    <s v="R04"/>
    <n v="250"/>
    <n v="350"/>
    <n v="0"/>
    <n v="0"/>
    <n v="0"/>
    <x v="27"/>
    <x v="3"/>
    <x v="17"/>
    <n v="0"/>
    <n v="0"/>
  </r>
  <r>
    <x v="4"/>
    <s v="Rich Cream"/>
    <s v="R05"/>
    <n v="300"/>
    <n v="450"/>
    <n v="1"/>
    <n v="0"/>
    <n v="1"/>
    <x v="27"/>
    <x v="3"/>
    <x v="8"/>
    <n v="150"/>
    <n v="1"/>
  </r>
  <r>
    <x v="5"/>
    <s v="Dry Cake"/>
    <s v="D01"/>
    <n v="320"/>
    <n v="400"/>
    <n v="0"/>
    <n v="0"/>
    <n v="0"/>
    <x v="27"/>
    <x v="3"/>
    <x v="17"/>
    <n v="0"/>
    <n v="0"/>
  </r>
  <r>
    <x v="6"/>
    <s v="Dry Cake"/>
    <s v="D02"/>
    <n v="100"/>
    <n v="150"/>
    <n v="3"/>
    <n v="3"/>
    <n v="0"/>
    <x v="27"/>
    <x v="3"/>
    <x v="17"/>
    <n v="0"/>
    <n v="0"/>
  </r>
  <r>
    <x v="0"/>
    <s v="Pastry"/>
    <s v="P01"/>
    <n v="25"/>
    <n v="40"/>
    <n v="8"/>
    <n v="4"/>
    <n v="4"/>
    <x v="27"/>
    <x v="3"/>
    <x v="63"/>
    <n v="60"/>
    <n v="0.5"/>
  </r>
  <r>
    <x v="1"/>
    <s v="Pastry"/>
    <s v="P02"/>
    <n v="30"/>
    <n v="50"/>
    <n v="6"/>
    <n v="4"/>
    <n v="2"/>
    <x v="27"/>
    <x v="3"/>
    <x v="33"/>
    <n v="40"/>
    <n v="0.33333333333333331"/>
  </r>
  <r>
    <x v="3"/>
    <s v="Pastry"/>
    <s v="P03"/>
    <n v="25"/>
    <n v="40"/>
    <n v="5"/>
    <n v="5"/>
    <n v="0"/>
    <x v="27"/>
    <x v="3"/>
    <x v="17"/>
    <n v="0"/>
    <n v="0"/>
  </r>
  <r>
    <x v="2"/>
    <s v="Pastry"/>
    <s v="P04"/>
    <n v="25"/>
    <n v="40"/>
    <n v="11"/>
    <n v="11"/>
    <n v="0"/>
    <x v="27"/>
    <x v="3"/>
    <x v="17"/>
    <n v="0"/>
    <n v="0"/>
  </r>
  <r>
    <x v="4"/>
    <s v="Pastry"/>
    <s v="P05"/>
    <n v="30"/>
    <n v="55"/>
    <n v="0"/>
    <n v="0"/>
    <n v="0"/>
    <x v="27"/>
    <x v="3"/>
    <x v="17"/>
    <n v="0"/>
    <n v="0"/>
  </r>
  <r>
    <x v="7"/>
    <s v="Pastry"/>
    <s v="P06"/>
    <n v="40"/>
    <n v="65"/>
    <n v="10"/>
    <n v="10"/>
    <n v="0"/>
    <x v="27"/>
    <x v="3"/>
    <x v="17"/>
    <n v="0"/>
    <n v="0"/>
  </r>
  <r>
    <x v="8"/>
    <s v="Pastry"/>
    <s v="P07"/>
    <n v="50"/>
    <n v="70"/>
    <n v="0"/>
    <n v="0"/>
    <n v="0"/>
    <x v="27"/>
    <x v="3"/>
    <x v="17"/>
    <n v="0"/>
    <n v="0"/>
  </r>
  <r>
    <x v="9"/>
    <s v="Pastry"/>
    <s v="P08"/>
    <n v="20"/>
    <n v="30"/>
    <n v="8"/>
    <n v="6"/>
    <n v="2"/>
    <x v="27"/>
    <x v="3"/>
    <x v="42"/>
    <n v="20"/>
    <n v="0.25"/>
  </r>
  <r>
    <x v="10"/>
    <s v="Pastry"/>
    <s v="P09"/>
    <n v="10"/>
    <n v="20"/>
    <n v="4"/>
    <n v="3"/>
    <n v="1"/>
    <x v="27"/>
    <x v="3"/>
    <x v="80"/>
    <n v="10"/>
    <n v="0.25"/>
  </r>
  <r>
    <x v="11"/>
    <s v="Pastry"/>
    <s v="P10"/>
    <n v="60"/>
    <n v="100"/>
    <n v="1"/>
    <n v="1"/>
    <n v="0"/>
    <x v="27"/>
    <x v="3"/>
    <x v="17"/>
    <n v="0"/>
    <n v="0"/>
  </r>
  <r>
    <x v="12"/>
    <s v="Snack"/>
    <s v="S01"/>
    <n v="50"/>
    <n v="70"/>
    <n v="4"/>
    <n v="2"/>
    <n v="2"/>
    <x v="27"/>
    <x v="3"/>
    <x v="25"/>
    <n v="40"/>
    <n v="0.5"/>
  </r>
  <r>
    <x v="13"/>
    <s v="Snack"/>
    <s v="S02"/>
    <n v="45"/>
    <n v="65"/>
    <n v="0"/>
    <n v="0"/>
    <n v="0"/>
    <x v="27"/>
    <x v="3"/>
    <x v="17"/>
    <n v="0"/>
    <n v="0"/>
  </r>
  <r>
    <x v="14"/>
    <s v="Snack"/>
    <s v="S03"/>
    <n v="50"/>
    <n v="70"/>
    <n v="0"/>
    <n v="0"/>
    <n v="0"/>
    <x v="27"/>
    <x v="3"/>
    <x v="17"/>
    <n v="0"/>
    <n v="0"/>
  </r>
  <r>
    <x v="15"/>
    <s v="Snack"/>
    <s v="S04"/>
    <n v="10"/>
    <n v="15"/>
    <n v="10"/>
    <n v="1"/>
    <n v="9"/>
    <x v="27"/>
    <x v="3"/>
    <x v="85"/>
    <n v="45"/>
    <n v="0.9"/>
  </r>
  <r>
    <x v="16"/>
    <s v="Snack"/>
    <s v="S05"/>
    <n v="20"/>
    <n v="25"/>
    <n v="7"/>
    <n v="0"/>
    <n v="7"/>
    <x v="27"/>
    <x v="3"/>
    <x v="64"/>
    <n v="35"/>
    <n v="1"/>
  </r>
  <r>
    <x v="17"/>
    <s v="Bread Item"/>
    <s v="B01"/>
    <n v="25"/>
    <n v="30"/>
    <n v="16"/>
    <n v="10"/>
    <n v="6"/>
    <x v="27"/>
    <x v="3"/>
    <x v="34"/>
    <n v="30"/>
    <n v="0.375"/>
  </r>
  <r>
    <x v="18"/>
    <s v="Bread Item"/>
    <s v="B02"/>
    <n v="25"/>
    <n v="30"/>
    <n v="6"/>
    <n v="4"/>
    <n v="2"/>
    <x v="27"/>
    <x v="3"/>
    <x v="42"/>
    <n v="10"/>
    <n v="0.33333333333333331"/>
  </r>
  <r>
    <x v="19"/>
    <s v="Bread Item"/>
    <s v="B03"/>
    <n v="25"/>
    <n v="30"/>
    <n v="6"/>
    <n v="0"/>
    <n v="6"/>
    <x v="27"/>
    <x v="3"/>
    <x v="34"/>
    <n v="30"/>
    <n v="1"/>
  </r>
  <r>
    <x v="20"/>
    <s v="Bread Item"/>
    <s v="B04"/>
    <n v="30"/>
    <n v="35"/>
    <n v="13"/>
    <n v="6"/>
    <n v="7"/>
    <x v="27"/>
    <x v="3"/>
    <x v="86"/>
    <n v="35"/>
    <n v="0.53846153846153844"/>
  </r>
  <r>
    <x v="21"/>
    <m/>
    <m/>
    <m/>
    <m/>
    <m/>
    <m/>
    <m/>
    <x v="28"/>
    <x v="8"/>
    <x v="87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1">
  <r>
    <s v="Pineapple"/>
    <x v="0"/>
    <x v="0"/>
    <n v="100"/>
    <n v="200"/>
    <n v="6"/>
    <n v="4"/>
    <n v="2"/>
    <x v="0"/>
    <x v="0"/>
    <x v="0"/>
    <n v="200"/>
  </r>
  <r>
    <s v="Chocolate Truffle"/>
    <x v="0"/>
    <x v="1"/>
    <n v="200"/>
    <n v="300"/>
    <n v="5"/>
    <n v="2"/>
    <n v="3"/>
    <x v="0"/>
    <x v="0"/>
    <x v="1"/>
    <n v="300"/>
  </r>
  <r>
    <s v="Black Forest"/>
    <x v="0"/>
    <x v="2"/>
    <n v="150"/>
    <n v="250"/>
    <n v="4"/>
    <n v="1"/>
    <n v="3"/>
    <x v="0"/>
    <x v="0"/>
    <x v="2"/>
    <n v="300"/>
  </r>
  <r>
    <s v="Butter Scotch"/>
    <x v="0"/>
    <x v="3"/>
    <n v="100"/>
    <n v="200"/>
    <n v="5"/>
    <n v="2"/>
    <n v="3"/>
    <x v="0"/>
    <x v="0"/>
    <x v="3"/>
    <n v="300"/>
  </r>
  <r>
    <s v="Pineapple"/>
    <x v="1"/>
    <x v="4"/>
    <n v="250"/>
    <n v="350"/>
    <n v="4"/>
    <n v="2"/>
    <n v="2"/>
    <x v="0"/>
    <x v="0"/>
    <x v="4"/>
    <n v="200"/>
  </r>
  <r>
    <s v="Chocolate Truffle"/>
    <x v="1"/>
    <x v="5"/>
    <n v="300"/>
    <n v="400"/>
    <n v="4"/>
    <n v="0"/>
    <n v="4"/>
    <x v="0"/>
    <x v="0"/>
    <x v="5"/>
    <n v="400"/>
  </r>
  <r>
    <s v="Black Forest"/>
    <x v="1"/>
    <x v="6"/>
    <n v="250"/>
    <n v="350"/>
    <n v="4"/>
    <n v="0"/>
    <n v="4"/>
    <x v="0"/>
    <x v="0"/>
    <x v="6"/>
    <n v="400"/>
  </r>
  <r>
    <s v="Butter Scotch"/>
    <x v="1"/>
    <x v="7"/>
    <n v="250"/>
    <n v="350"/>
    <n v="3"/>
    <n v="2"/>
    <n v="1"/>
    <x v="0"/>
    <x v="0"/>
    <x v="7"/>
    <n v="100"/>
  </r>
  <r>
    <s v="Chocochip"/>
    <x v="1"/>
    <x v="8"/>
    <n v="300"/>
    <n v="450"/>
    <n v="2"/>
    <n v="1"/>
    <n v="1"/>
    <x v="0"/>
    <x v="0"/>
    <x v="8"/>
    <n v="150"/>
  </r>
  <r>
    <s v="Fruit Cake(400gram)"/>
    <x v="2"/>
    <x v="9"/>
    <n v="320"/>
    <n v="400"/>
    <n v="6"/>
    <n v="3"/>
    <n v="3"/>
    <x v="0"/>
    <x v="0"/>
    <x v="9"/>
    <n v="240"/>
  </r>
  <r>
    <s v="Fruit Cake(200gram)"/>
    <x v="2"/>
    <x v="10"/>
    <n v="100"/>
    <n v="150"/>
    <n v="10"/>
    <n v="0"/>
    <n v="10"/>
    <x v="0"/>
    <x v="0"/>
    <x v="10"/>
    <n v="500"/>
  </r>
  <r>
    <s v="Pineapple"/>
    <x v="3"/>
    <x v="11"/>
    <n v="25"/>
    <n v="40"/>
    <n v="32"/>
    <n v="0"/>
    <n v="32"/>
    <x v="0"/>
    <x v="0"/>
    <x v="11"/>
    <n v="480"/>
  </r>
  <r>
    <s v="Chocolate Truffle"/>
    <x v="3"/>
    <x v="12"/>
    <n v="30"/>
    <n v="50"/>
    <n v="24"/>
    <n v="14"/>
    <n v="10"/>
    <x v="0"/>
    <x v="0"/>
    <x v="12"/>
    <n v="200"/>
  </r>
  <r>
    <s v="Butter Scotch"/>
    <x v="3"/>
    <x v="13"/>
    <n v="25"/>
    <n v="40"/>
    <n v="12"/>
    <n v="0"/>
    <n v="12"/>
    <x v="0"/>
    <x v="0"/>
    <x v="13"/>
    <n v="180"/>
  </r>
  <r>
    <s v="Black Forest"/>
    <x v="3"/>
    <x v="14"/>
    <n v="25"/>
    <n v="40"/>
    <n v="22"/>
    <n v="0"/>
    <n v="22"/>
    <x v="0"/>
    <x v="0"/>
    <x v="14"/>
    <n v="330"/>
  </r>
  <r>
    <s v="Chocochip"/>
    <x v="3"/>
    <x v="15"/>
    <n v="30"/>
    <n v="55"/>
    <n v="20"/>
    <n v="1"/>
    <n v="19"/>
    <x v="0"/>
    <x v="0"/>
    <x v="15"/>
    <n v="475"/>
  </r>
  <r>
    <s v="Bonfire"/>
    <x v="3"/>
    <x v="16"/>
    <n v="40"/>
    <n v="65"/>
    <n v="8"/>
    <n v="2"/>
    <n v="6"/>
    <x v="0"/>
    <x v="0"/>
    <x v="16"/>
    <n v="150"/>
  </r>
  <r>
    <s v="Choco Lava"/>
    <x v="3"/>
    <x v="17"/>
    <n v="50"/>
    <n v="70"/>
    <n v="0"/>
    <n v="0"/>
    <n v="0"/>
    <x v="0"/>
    <x v="0"/>
    <x v="17"/>
    <n v="0"/>
  </r>
  <r>
    <s v="Cupcakes"/>
    <x v="3"/>
    <x v="18"/>
    <n v="20"/>
    <n v="30"/>
    <n v="45"/>
    <n v="27"/>
    <n v="18"/>
    <x v="0"/>
    <x v="0"/>
    <x v="18"/>
    <n v="180"/>
  </r>
  <r>
    <s v="Muffins"/>
    <x v="3"/>
    <x v="19"/>
    <n v="10"/>
    <n v="20"/>
    <n v="0"/>
    <n v="0"/>
    <n v="0"/>
    <x v="0"/>
    <x v="0"/>
    <x v="17"/>
    <n v="0"/>
  </r>
  <r>
    <s v="Jar Cakes"/>
    <x v="3"/>
    <x v="20"/>
    <n v="60"/>
    <n v="100"/>
    <n v="7"/>
    <n v="5"/>
    <n v="2"/>
    <x v="0"/>
    <x v="0"/>
    <x v="19"/>
    <n v="80"/>
  </r>
  <r>
    <s v="Paneer Sandwich"/>
    <x v="4"/>
    <x v="21"/>
    <n v="50"/>
    <n v="70"/>
    <n v="7"/>
    <n v="6"/>
    <n v="1"/>
    <x v="0"/>
    <x v="0"/>
    <x v="20"/>
    <n v="20"/>
  </r>
  <r>
    <s v="Hotdog"/>
    <x v="4"/>
    <x v="22"/>
    <n v="45"/>
    <n v="65"/>
    <n v="3"/>
    <n v="3"/>
    <n v="0"/>
    <x v="0"/>
    <x v="0"/>
    <x v="17"/>
    <n v="0"/>
  </r>
  <r>
    <s v="Paneer Roll"/>
    <x v="4"/>
    <x v="23"/>
    <n v="50"/>
    <n v="70"/>
    <n v="4"/>
    <n v="3"/>
    <n v="1"/>
    <x v="0"/>
    <x v="0"/>
    <x v="20"/>
    <n v="20"/>
  </r>
  <r>
    <s v="Aloo Patiz"/>
    <x v="4"/>
    <x v="24"/>
    <n v="10"/>
    <n v="15"/>
    <n v="15"/>
    <n v="0"/>
    <n v="15"/>
    <x v="0"/>
    <x v="0"/>
    <x v="21"/>
    <n v="75"/>
  </r>
  <r>
    <s v="Paneer Patiz"/>
    <x v="4"/>
    <x v="25"/>
    <n v="20"/>
    <n v="25"/>
    <n v="10"/>
    <n v="4"/>
    <n v="6"/>
    <x v="0"/>
    <x v="0"/>
    <x v="22"/>
    <n v="30"/>
  </r>
  <r>
    <s v="Pao"/>
    <x v="5"/>
    <x v="26"/>
    <n v="25"/>
    <n v="30"/>
    <n v="19"/>
    <n v="7"/>
    <n v="12"/>
    <x v="0"/>
    <x v="0"/>
    <x v="23"/>
    <n v="60"/>
  </r>
  <r>
    <s v="Burger Buns"/>
    <x v="5"/>
    <x v="27"/>
    <n v="25"/>
    <n v="30"/>
    <n v="10"/>
    <n v="10"/>
    <n v="0"/>
    <x v="0"/>
    <x v="0"/>
    <x v="17"/>
    <n v="0"/>
  </r>
  <r>
    <s v="Pizza Base"/>
    <x v="5"/>
    <x v="28"/>
    <n v="25"/>
    <n v="30"/>
    <n v="12"/>
    <n v="5"/>
    <n v="7"/>
    <x v="0"/>
    <x v="0"/>
    <x v="24"/>
    <n v="35"/>
  </r>
  <r>
    <s v="Brown Bread"/>
    <x v="5"/>
    <x v="29"/>
    <n v="30"/>
    <n v="35"/>
    <n v="8"/>
    <n v="4"/>
    <n v="4"/>
    <x v="0"/>
    <x v="0"/>
    <x v="25"/>
    <n v="20"/>
  </r>
  <r>
    <s v="Pineapple"/>
    <x v="0"/>
    <x v="0"/>
    <n v="100"/>
    <n v="200"/>
    <n v="4"/>
    <n v="3"/>
    <n v="1"/>
    <x v="1"/>
    <x v="1"/>
    <x v="19"/>
    <n v="100"/>
  </r>
  <r>
    <s v="Chocolate Truffle"/>
    <x v="0"/>
    <x v="1"/>
    <n v="200"/>
    <n v="300"/>
    <n v="2"/>
    <n v="0"/>
    <n v="2"/>
    <x v="1"/>
    <x v="1"/>
    <x v="3"/>
    <n v="200"/>
  </r>
  <r>
    <s v="Black Forest"/>
    <x v="0"/>
    <x v="2"/>
    <n v="150"/>
    <n v="250"/>
    <n v="1"/>
    <n v="0"/>
    <n v="1"/>
    <x v="1"/>
    <x v="1"/>
    <x v="26"/>
    <n v="100"/>
  </r>
  <r>
    <s v="Butter Scotch"/>
    <x v="0"/>
    <x v="3"/>
    <n v="100"/>
    <n v="200"/>
    <n v="2"/>
    <n v="1"/>
    <n v="1"/>
    <x v="1"/>
    <x v="1"/>
    <x v="19"/>
    <n v="100"/>
  </r>
  <r>
    <s v="Pineapple"/>
    <x v="1"/>
    <x v="4"/>
    <n v="250"/>
    <n v="350"/>
    <n v="3"/>
    <n v="1"/>
    <n v="2"/>
    <x v="1"/>
    <x v="1"/>
    <x v="4"/>
    <n v="200"/>
  </r>
  <r>
    <s v="Chocolate Truffle"/>
    <x v="1"/>
    <x v="5"/>
    <n v="300"/>
    <n v="400"/>
    <n v="1"/>
    <n v="0"/>
    <n v="1"/>
    <x v="1"/>
    <x v="1"/>
    <x v="0"/>
    <n v="100"/>
  </r>
  <r>
    <s v="Black Forest"/>
    <x v="1"/>
    <x v="6"/>
    <n v="250"/>
    <n v="350"/>
    <n v="3"/>
    <n v="1"/>
    <n v="2"/>
    <x v="1"/>
    <x v="1"/>
    <x v="4"/>
    <n v="200"/>
  </r>
  <r>
    <s v="Butter Scotch"/>
    <x v="1"/>
    <x v="7"/>
    <n v="250"/>
    <n v="350"/>
    <n v="2"/>
    <n v="1"/>
    <n v="1"/>
    <x v="1"/>
    <x v="1"/>
    <x v="7"/>
    <n v="100"/>
  </r>
  <r>
    <s v="Chocochip"/>
    <x v="1"/>
    <x v="8"/>
    <n v="300"/>
    <n v="450"/>
    <n v="3"/>
    <n v="0"/>
    <n v="3"/>
    <x v="1"/>
    <x v="1"/>
    <x v="27"/>
    <n v="450"/>
  </r>
  <r>
    <s v="Fruit Cake(400gram)"/>
    <x v="2"/>
    <x v="9"/>
    <n v="320"/>
    <n v="400"/>
    <n v="3"/>
    <n v="2"/>
    <n v="1"/>
    <x v="1"/>
    <x v="1"/>
    <x v="0"/>
    <n v="80"/>
  </r>
  <r>
    <s v="Fruit Cake(200gram)"/>
    <x v="2"/>
    <x v="10"/>
    <n v="100"/>
    <n v="150"/>
    <n v="0"/>
    <n v="0"/>
    <n v="0"/>
    <x v="1"/>
    <x v="1"/>
    <x v="17"/>
    <n v="0"/>
  </r>
  <r>
    <s v="Pineapple"/>
    <x v="3"/>
    <x v="11"/>
    <n v="25"/>
    <n v="40"/>
    <n v="10"/>
    <n v="5"/>
    <n v="5"/>
    <x v="1"/>
    <x v="1"/>
    <x v="19"/>
    <n v="75"/>
  </r>
  <r>
    <s v="Chocolate Truffle"/>
    <x v="3"/>
    <x v="12"/>
    <n v="30"/>
    <n v="50"/>
    <n v="14"/>
    <n v="6"/>
    <n v="8"/>
    <x v="1"/>
    <x v="1"/>
    <x v="0"/>
    <n v="160"/>
  </r>
  <r>
    <s v="Butter Scotch"/>
    <x v="3"/>
    <x v="13"/>
    <n v="25"/>
    <n v="40"/>
    <n v="10"/>
    <n v="7"/>
    <n v="3"/>
    <x v="1"/>
    <x v="1"/>
    <x v="28"/>
    <n v="45"/>
  </r>
  <r>
    <s v="Black Forest"/>
    <x v="3"/>
    <x v="14"/>
    <n v="25"/>
    <n v="40"/>
    <n v="12"/>
    <n v="5"/>
    <n v="7"/>
    <x v="1"/>
    <x v="1"/>
    <x v="29"/>
    <n v="105"/>
  </r>
  <r>
    <s v="Chocochip"/>
    <x v="3"/>
    <x v="15"/>
    <n v="30"/>
    <n v="55"/>
    <n v="9"/>
    <n v="8"/>
    <n v="1"/>
    <x v="1"/>
    <x v="1"/>
    <x v="30"/>
    <n v="25"/>
  </r>
  <r>
    <s v="Bonfire"/>
    <x v="3"/>
    <x v="16"/>
    <n v="40"/>
    <n v="65"/>
    <n v="12"/>
    <n v="2"/>
    <n v="10"/>
    <x v="1"/>
    <x v="1"/>
    <x v="31"/>
    <n v="250"/>
  </r>
  <r>
    <s v="Choco Lava"/>
    <x v="3"/>
    <x v="17"/>
    <n v="50"/>
    <n v="70"/>
    <n v="0"/>
    <n v="0"/>
    <n v="0"/>
    <x v="1"/>
    <x v="1"/>
    <x v="17"/>
    <n v="0"/>
  </r>
  <r>
    <s v="Cupcakes"/>
    <x v="3"/>
    <x v="18"/>
    <n v="20"/>
    <n v="30"/>
    <n v="27"/>
    <n v="22"/>
    <n v="5"/>
    <x v="1"/>
    <x v="1"/>
    <x v="22"/>
    <n v="50"/>
  </r>
  <r>
    <s v="Muffins"/>
    <x v="3"/>
    <x v="19"/>
    <n v="10"/>
    <n v="20"/>
    <n v="0"/>
    <n v="0"/>
    <n v="0"/>
    <x v="1"/>
    <x v="1"/>
    <x v="17"/>
    <n v="0"/>
  </r>
  <r>
    <s v="Jar Cakes"/>
    <x v="3"/>
    <x v="20"/>
    <n v="60"/>
    <n v="100"/>
    <n v="5"/>
    <n v="5"/>
    <n v="0"/>
    <x v="1"/>
    <x v="1"/>
    <x v="17"/>
    <n v="0"/>
  </r>
  <r>
    <s v="Paneer Sandwich"/>
    <x v="4"/>
    <x v="21"/>
    <n v="50"/>
    <n v="70"/>
    <n v="6"/>
    <n v="6"/>
    <n v="0"/>
    <x v="1"/>
    <x v="1"/>
    <x v="17"/>
    <n v="0"/>
  </r>
  <r>
    <s v="Hotdog"/>
    <x v="4"/>
    <x v="22"/>
    <n v="45"/>
    <n v="65"/>
    <n v="4"/>
    <n v="4"/>
    <n v="0"/>
    <x v="1"/>
    <x v="1"/>
    <x v="17"/>
    <n v="0"/>
  </r>
  <r>
    <s v="Paneer Roll"/>
    <x v="4"/>
    <x v="23"/>
    <n v="50"/>
    <n v="70"/>
    <n v="3"/>
    <n v="3"/>
    <n v="0"/>
    <x v="1"/>
    <x v="1"/>
    <x v="17"/>
    <n v="0"/>
  </r>
  <r>
    <s v="Aloo Patiz"/>
    <x v="4"/>
    <x v="24"/>
    <n v="10"/>
    <n v="15"/>
    <n v="10"/>
    <n v="8"/>
    <n v="2"/>
    <x v="1"/>
    <x v="1"/>
    <x v="32"/>
    <n v="10"/>
  </r>
  <r>
    <s v="Paneer Patiz"/>
    <x v="4"/>
    <x v="25"/>
    <n v="20"/>
    <n v="25"/>
    <n v="11"/>
    <n v="7"/>
    <n v="4"/>
    <x v="1"/>
    <x v="1"/>
    <x v="33"/>
    <n v="20"/>
  </r>
  <r>
    <s v="Pao"/>
    <x v="5"/>
    <x v="26"/>
    <n v="25"/>
    <n v="30"/>
    <n v="7"/>
    <n v="0"/>
    <n v="7"/>
    <x v="1"/>
    <x v="1"/>
    <x v="24"/>
    <n v="35"/>
  </r>
  <r>
    <s v="Burger Buns"/>
    <x v="5"/>
    <x v="27"/>
    <n v="25"/>
    <n v="30"/>
    <n v="10"/>
    <n v="4"/>
    <n v="6"/>
    <x v="1"/>
    <x v="1"/>
    <x v="34"/>
    <n v="30"/>
  </r>
  <r>
    <s v="Pizza Base"/>
    <x v="5"/>
    <x v="28"/>
    <n v="25"/>
    <n v="30"/>
    <n v="5"/>
    <n v="0"/>
    <n v="5"/>
    <x v="1"/>
    <x v="1"/>
    <x v="22"/>
    <n v="25"/>
  </r>
  <r>
    <s v="Brown Bread"/>
    <x v="5"/>
    <x v="29"/>
    <n v="30"/>
    <n v="35"/>
    <n v="4"/>
    <n v="0"/>
    <n v="4"/>
    <x v="1"/>
    <x v="1"/>
    <x v="25"/>
    <n v="20"/>
  </r>
  <r>
    <s v="Pineapple"/>
    <x v="0"/>
    <x v="0"/>
    <n v="100"/>
    <n v="200"/>
    <n v="3"/>
    <n v="2"/>
    <n v="1"/>
    <x v="2"/>
    <x v="2"/>
    <x v="19"/>
    <n v="100"/>
  </r>
  <r>
    <s v="Chocolate Truffle"/>
    <x v="0"/>
    <x v="1"/>
    <n v="200"/>
    <n v="300"/>
    <n v="0"/>
    <n v="0"/>
    <n v="0"/>
    <x v="2"/>
    <x v="2"/>
    <x v="17"/>
    <n v="0"/>
  </r>
  <r>
    <s v="Black Forest"/>
    <x v="0"/>
    <x v="2"/>
    <n v="150"/>
    <n v="250"/>
    <n v="0"/>
    <n v="0"/>
    <n v="0"/>
    <x v="2"/>
    <x v="2"/>
    <x v="17"/>
    <n v="0"/>
  </r>
  <r>
    <s v="Butter Scotch"/>
    <x v="0"/>
    <x v="3"/>
    <n v="100"/>
    <n v="200"/>
    <n v="1"/>
    <n v="1"/>
    <n v="0"/>
    <x v="2"/>
    <x v="2"/>
    <x v="17"/>
    <n v="0"/>
  </r>
  <r>
    <s v="Pineapple"/>
    <x v="1"/>
    <x v="4"/>
    <n v="250"/>
    <n v="350"/>
    <n v="1"/>
    <n v="1"/>
    <n v="0"/>
    <x v="2"/>
    <x v="2"/>
    <x v="17"/>
    <n v="0"/>
  </r>
  <r>
    <s v="Chocolate Truffle"/>
    <x v="1"/>
    <x v="5"/>
    <n v="300"/>
    <n v="400"/>
    <n v="1"/>
    <n v="1"/>
    <n v="0"/>
    <x v="2"/>
    <x v="2"/>
    <x v="17"/>
    <n v="0"/>
  </r>
  <r>
    <s v="Black Forest"/>
    <x v="1"/>
    <x v="6"/>
    <n v="250"/>
    <n v="350"/>
    <n v="2"/>
    <n v="2"/>
    <n v="0"/>
    <x v="2"/>
    <x v="2"/>
    <x v="17"/>
    <n v="0"/>
  </r>
  <r>
    <s v="Butter Scotch"/>
    <x v="1"/>
    <x v="7"/>
    <n v="250"/>
    <n v="350"/>
    <n v="2"/>
    <n v="1"/>
    <n v="1"/>
    <x v="2"/>
    <x v="2"/>
    <x v="7"/>
    <n v="100"/>
  </r>
  <r>
    <s v="Chocochip"/>
    <x v="1"/>
    <x v="8"/>
    <n v="300"/>
    <n v="450"/>
    <n v="0"/>
    <n v="0"/>
    <n v="0"/>
    <x v="2"/>
    <x v="2"/>
    <x v="17"/>
    <n v="0"/>
  </r>
  <r>
    <s v="Fruit Cake(400gram)"/>
    <x v="2"/>
    <x v="9"/>
    <n v="320"/>
    <n v="400"/>
    <n v="2"/>
    <n v="2"/>
    <n v="0"/>
    <x v="2"/>
    <x v="2"/>
    <x v="17"/>
    <n v="0"/>
  </r>
  <r>
    <s v="Fruit Cake(200gram)"/>
    <x v="2"/>
    <x v="10"/>
    <n v="100"/>
    <n v="150"/>
    <n v="0"/>
    <n v="0"/>
    <n v="0"/>
    <x v="2"/>
    <x v="2"/>
    <x v="17"/>
    <n v="0"/>
  </r>
  <r>
    <s v="Pineapple"/>
    <x v="3"/>
    <x v="11"/>
    <n v="25"/>
    <n v="40"/>
    <n v="5"/>
    <n v="4"/>
    <n v="1"/>
    <x v="2"/>
    <x v="2"/>
    <x v="35"/>
    <n v="15"/>
  </r>
  <r>
    <s v="Chocolate Truffle"/>
    <x v="3"/>
    <x v="12"/>
    <n v="30"/>
    <n v="50"/>
    <n v="6"/>
    <n v="2"/>
    <n v="4"/>
    <x v="2"/>
    <x v="2"/>
    <x v="19"/>
    <n v="80"/>
  </r>
  <r>
    <s v="Butter Scotch"/>
    <x v="3"/>
    <x v="13"/>
    <n v="25"/>
    <n v="40"/>
    <n v="7"/>
    <n v="4"/>
    <n v="3"/>
    <x v="2"/>
    <x v="2"/>
    <x v="28"/>
    <n v="45"/>
  </r>
  <r>
    <s v="Black Forest"/>
    <x v="3"/>
    <x v="14"/>
    <n v="25"/>
    <n v="40"/>
    <n v="5"/>
    <n v="2"/>
    <n v="3"/>
    <x v="2"/>
    <x v="2"/>
    <x v="28"/>
    <n v="45"/>
  </r>
  <r>
    <s v="Chocochip"/>
    <x v="3"/>
    <x v="15"/>
    <n v="30"/>
    <n v="55"/>
    <n v="8"/>
    <n v="3"/>
    <n v="5"/>
    <x v="2"/>
    <x v="2"/>
    <x v="36"/>
    <n v="125"/>
  </r>
  <r>
    <s v="Bonfire"/>
    <x v="3"/>
    <x v="16"/>
    <n v="40"/>
    <n v="65"/>
    <n v="2"/>
    <n v="0"/>
    <n v="2"/>
    <x v="2"/>
    <x v="2"/>
    <x v="37"/>
    <n v="50"/>
  </r>
  <r>
    <s v="Choco Lava"/>
    <x v="3"/>
    <x v="17"/>
    <n v="50"/>
    <n v="70"/>
    <n v="4"/>
    <n v="3"/>
    <n v="1"/>
    <x v="2"/>
    <x v="2"/>
    <x v="20"/>
    <n v="20"/>
  </r>
  <r>
    <s v="Cupcakes"/>
    <x v="3"/>
    <x v="18"/>
    <n v="20"/>
    <n v="30"/>
    <n v="22"/>
    <n v="19"/>
    <n v="3"/>
    <x v="2"/>
    <x v="2"/>
    <x v="38"/>
    <n v="30"/>
  </r>
  <r>
    <s v="Muffins"/>
    <x v="3"/>
    <x v="19"/>
    <n v="10"/>
    <n v="20"/>
    <n v="6"/>
    <n v="6"/>
    <n v="0"/>
    <x v="2"/>
    <x v="2"/>
    <x v="17"/>
    <n v="0"/>
  </r>
  <r>
    <s v="Jar Cakes"/>
    <x v="3"/>
    <x v="20"/>
    <n v="60"/>
    <n v="100"/>
    <n v="5"/>
    <n v="5"/>
    <n v="0"/>
    <x v="2"/>
    <x v="2"/>
    <x v="17"/>
    <n v="0"/>
  </r>
  <r>
    <s v="Paneer Sandwich"/>
    <x v="4"/>
    <x v="21"/>
    <n v="50"/>
    <n v="70"/>
    <n v="6"/>
    <n v="5"/>
    <n v="1"/>
    <x v="2"/>
    <x v="2"/>
    <x v="20"/>
    <n v="20"/>
  </r>
  <r>
    <s v="Hotdog"/>
    <x v="4"/>
    <x v="22"/>
    <n v="45"/>
    <n v="65"/>
    <n v="4"/>
    <n v="4"/>
    <n v="0"/>
    <x v="2"/>
    <x v="2"/>
    <x v="17"/>
    <n v="0"/>
  </r>
  <r>
    <s v="Paneer Roll"/>
    <x v="4"/>
    <x v="23"/>
    <n v="50"/>
    <n v="70"/>
    <n v="3"/>
    <n v="3"/>
    <n v="0"/>
    <x v="2"/>
    <x v="2"/>
    <x v="17"/>
    <n v="0"/>
  </r>
  <r>
    <s v="Aloo Patiz"/>
    <x v="4"/>
    <x v="24"/>
    <n v="10"/>
    <n v="15"/>
    <n v="8"/>
    <n v="6"/>
    <n v="2"/>
    <x v="2"/>
    <x v="2"/>
    <x v="32"/>
    <n v="10"/>
  </r>
  <r>
    <s v="Paneer Patiz"/>
    <x v="4"/>
    <x v="25"/>
    <n v="20"/>
    <n v="25"/>
    <n v="7"/>
    <n v="6"/>
    <n v="1"/>
    <x v="2"/>
    <x v="2"/>
    <x v="39"/>
    <n v="5"/>
  </r>
  <r>
    <s v="Pao"/>
    <x v="5"/>
    <x v="26"/>
    <n v="25"/>
    <n v="30"/>
    <n v="0"/>
    <n v="0"/>
    <n v="0"/>
    <x v="2"/>
    <x v="2"/>
    <x v="17"/>
    <n v="0"/>
  </r>
  <r>
    <s v="Burger Buns"/>
    <x v="5"/>
    <x v="27"/>
    <n v="25"/>
    <n v="30"/>
    <n v="6"/>
    <n v="5"/>
    <n v="1"/>
    <x v="2"/>
    <x v="2"/>
    <x v="32"/>
    <n v="5"/>
  </r>
  <r>
    <s v="Pizza Base"/>
    <x v="5"/>
    <x v="28"/>
    <n v="25"/>
    <n v="30"/>
    <n v="0"/>
    <n v="0"/>
    <n v="0"/>
    <x v="2"/>
    <x v="2"/>
    <x v="17"/>
    <n v="0"/>
  </r>
  <r>
    <s v="Brown Bread"/>
    <x v="5"/>
    <x v="29"/>
    <n v="30"/>
    <n v="35"/>
    <n v="0"/>
    <n v="0"/>
    <n v="0"/>
    <x v="2"/>
    <x v="2"/>
    <x v="17"/>
    <n v="0"/>
  </r>
  <r>
    <s v="Pineapple"/>
    <x v="0"/>
    <x v="0"/>
    <n v="100"/>
    <n v="200"/>
    <n v="3"/>
    <n v="2"/>
    <n v="1"/>
    <x v="3"/>
    <x v="3"/>
    <x v="19"/>
    <n v="100"/>
  </r>
  <r>
    <s v="Chocolate Truffle"/>
    <x v="0"/>
    <x v="1"/>
    <n v="200"/>
    <n v="300"/>
    <n v="3"/>
    <n v="1"/>
    <n v="2"/>
    <x v="3"/>
    <x v="3"/>
    <x v="3"/>
    <n v="200"/>
  </r>
  <r>
    <s v="Black Forest"/>
    <x v="0"/>
    <x v="2"/>
    <n v="150"/>
    <n v="250"/>
    <n v="2"/>
    <n v="2"/>
    <n v="0"/>
    <x v="3"/>
    <x v="3"/>
    <x v="17"/>
    <n v="0"/>
  </r>
  <r>
    <s v="Butter Scotch"/>
    <x v="0"/>
    <x v="3"/>
    <n v="100"/>
    <n v="200"/>
    <n v="2"/>
    <n v="1"/>
    <n v="1"/>
    <x v="3"/>
    <x v="3"/>
    <x v="19"/>
    <n v="100"/>
  </r>
  <r>
    <s v="Pineapple"/>
    <x v="1"/>
    <x v="4"/>
    <n v="250"/>
    <n v="350"/>
    <n v="3"/>
    <n v="1"/>
    <n v="2"/>
    <x v="3"/>
    <x v="3"/>
    <x v="4"/>
    <n v="200"/>
  </r>
  <r>
    <s v="Chocolate Truffle"/>
    <x v="1"/>
    <x v="5"/>
    <n v="300"/>
    <n v="400"/>
    <n v="1"/>
    <n v="1"/>
    <n v="0"/>
    <x v="3"/>
    <x v="3"/>
    <x v="17"/>
    <n v="0"/>
  </r>
  <r>
    <s v="Black Forest"/>
    <x v="1"/>
    <x v="6"/>
    <n v="250"/>
    <n v="350"/>
    <n v="2"/>
    <n v="1"/>
    <n v="1"/>
    <x v="3"/>
    <x v="3"/>
    <x v="7"/>
    <n v="100"/>
  </r>
  <r>
    <s v="Butter Scotch"/>
    <x v="1"/>
    <x v="7"/>
    <n v="250"/>
    <n v="350"/>
    <n v="2"/>
    <n v="2"/>
    <n v="0"/>
    <x v="3"/>
    <x v="3"/>
    <x v="17"/>
    <n v="0"/>
  </r>
  <r>
    <s v="Chocochip"/>
    <x v="1"/>
    <x v="8"/>
    <n v="300"/>
    <n v="450"/>
    <n v="4"/>
    <n v="1"/>
    <n v="3"/>
    <x v="3"/>
    <x v="3"/>
    <x v="27"/>
    <n v="450"/>
  </r>
  <r>
    <s v="Fruit Cake(400gram)"/>
    <x v="2"/>
    <x v="9"/>
    <n v="320"/>
    <n v="400"/>
    <n v="2"/>
    <n v="1"/>
    <n v="1"/>
    <x v="3"/>
    <x v="3"/>
    <x v="0"/>
    <n v="80"/>
  </r>
  <r>
    <s v="Fruit Cake(200gram)"/>
    <x v="2"/>
    <x v="10"/>
    <n v="100"/>
    <n v="150"/>
    <n v="0"/>
    <n v="0"/>
    <n v="0"/>
    <x v="3"/>
    <x v="3"/>
    <x v="17"/>
    <n v="0"/>
  </r>
  <r>
    <s v="Pineapple"/>
    <x v="3"/>
    <x v="11"/>
    <n v="25"/>
    <n v="40"/>
    <n v="1"/>
    <n v="0"/>
    <n v="1"/>
    <x v="3"/>
    <x v="3"/>
    <x v="35"/>
    <n v="15"/>
  </r>
  <r>
    <s v="Chocolate Truffle"/>
    <x v="3"/>
    <x v="12"/>
    <n v="30"/>
    <n v="50"/>
    <n v="2"/>
    <n v="0"/>
    <n v="2"/>
    <x v="3"/>
    <x v="3"/>
    <x v="33"/>
    <n v="40"/>
  </r>
  <r>
    <s v="Butter Scotch"/>
    <x v="3"/>
    <x v="13"/>
    <n v="25"/>
    <n v="40"/>
    <n v="5"/>
    <n v="0"/>
    <n v="5"/>
    <x v="3"/>
    <x v="3"/>
    <x v="19"/>
    <n v="75"/>
  </r>
  <r>
    <s v="Black Forest"/>
    <x v="3"/>
    <x v="14"/>
    <n v="25"/>
    <n v="40"/>
    <n v="9"/>
    <n v="2"/>
    <n v="7"/>
    <x v="3"/>
    <x v="3"/>
    <x v="29"/>
    <n v="105"/>
  </r>
  <r>
    <s v="Chocochip"/>
    <x v="3"/>
    <x v="15"/>
    <n v="30"/>
    <n v="55"/>
    <n v="3"/>
    <n v="0"/>
    <n v="3"/>
    <x v="3"/>
    <x v="3"/>
    <x v="40"/>
    <n v="75"/>
  </r>
  <r>
    <s v="Bonfire"/>
    <x v="3"/>
    <x v="16"/>
    <n v="40"/>
    <n v="65"/>
    <n v="0"/>
    <n v="0"/>
    <n v="0"/>
    <x v="3"/>
    <x v="3"/>
    <x v="17"/>
    <n v="0"/>
  </r>
  <r>
    <s v="Choco Lava"/>
    <x v="3"/>
    <x v="17"/>
    <n v="50"/>
    <n v="70"/>
    <n v="3"/>
    <n v="3"/>
    <n v="0"/>
    <x v="3"/>
    <x v="3"/>
    <x v="17"/>
    <n v="0"/>
  </r>
  <r>
    <s v="Cupcakes"/>
    <x v="3"/>
    <x v="18"/>
    <n v="20"/>
    <n v="30"/>
    <n v="19"/>
    <n v="16"/>
    <n v="3"/>
    <x v="3"/>
    <x v="3"/>
    <x v="38"/>
    <n v="30"/>
  </r>
  <r>
    <s v="Muffins"/>
    <x v="3"/>
    <x v="19"/>
    <n v="10"/>
    <n v="20"/>
    <n v="6"/>
    <n v="6"/>
    <n v="0"/>
    <x v="3"/>
    <x v="3"/>
    <x v="17"/>
    <n v="0"/>
  </r>
  <r>
    <s v="Jar Cakes"/>
    <x v="3"/>
    <x v="20"/>
    <n v="60"/>
    <n v="100"/>
    <n v="5"/>
    <n v="5"/>
    <n v="0"/>
    <x v="3"/>
    <x v="3"/>
    <x v="17"/>
    <n v="0"/>
  </r>
  <r>
    <s v="Paneer Sandwich"/>
    <x v="4"/>
    <x v="21"/>
    <n v="50"/>
    <n v="70"/>
    <n v="5"/>
    <n v="5"/>
    <n v="0"/>
    <x v="3"/>
    <x v="3"/>
    <x v="17"/>
    <n v="0"/>
  </r>
  <r>
    <s v="Hotdog"/>
    <x v="4"/>
    <x v="22"/>
    <n v="45"/>
    <n v="65"/>
    <n v="4"/>
    <n v="4"/>
    <n v="0"/>
    <x v="3"/>
    <x v="3"/>
    <x v="17"/>
    <n v="0"/>
  </r>
  <r>
    <s v="Paneer Roll"/>
    <x v="4"/>
    <x v="23"/>
    <n v="50"/>
    <n v="70"/>
    <n v="3"/>
    <n v="3"/>
    <n v="0"/>
    <x v="3"/>
    <x v="3"/>
    <x v="17"/>
    <n v="0"/>
  </r>
  <r>
    <s v="Aloo Patiz"/>
    <x v="4"/>
    <x v="24"/>
    <n v="10"/>
    <n v="15"/>
    <n v="6"/>
    <n v="4"/>
    <n v="2"/>
    <x v="3"/>
    <x v="3"/>
    <x v="32"/>
    <n v="10"/>
  </r>
  <r>
    <s v="Paneer Patiz"/>
    <x v="4"/>
    <x v="25"/>
    <n v="20"/>
    <n v="25"/>
    <n v="6"/>
    <n v="4"/>
    <n v="2"/>
    <x v="3"/>
    <x v="3"/>
    <x v="41"/>
    <n v="10"/>
  </r>
  <r>
    <s v="Pao"/>
    <x v="5"/>
    <x v="26"/>
    <n v="25"/>
    <n v="30"/>
    <n v="10"/>
    <n v="10"/>
    <n v="0"/>
    <x v="3"/>
    <x v="3"/>
    <x v="17"/>
    <n v="0"/>
  </r>
  <r>
    <s v="Burger Buns"/>
    <x v="5"/>
    <x v="27"/>
    <n v="25"/>
    <n v="30"/>
    <n v="10"/>
    <n v="8"/>
    <n v="2"/>
    <x v="3"/>
    <x v="3"/>
    <x v="42"/>
    <n v="10"/>
  </r>
  <r>
    <s v="Pizza Base"/>
    <x v="5"/>
    <x v="28"/>
    <n v="25"/>
    <n v="30"/>
    <n v="5"/>
    <n v="3"/>
    <n v="2"/>
    <x v="3"/>
    <x v="3"/>
    <x v="42"/>
    <n v="10"/>
  </r>
  <r>
    <s v="Brown Bread"/>
    <x v="5"/>
    <x v="29"/>
    <n v="30"/>
    <n v="35"/>
    <n v="5"/>
    <n v="3"/>
    <n v="2"/>
    <x v="3"/>
    <x v="3"/>
    <x v="20"/>
    <n v="10"/>
  </r>
  <r>
    <s v="Pineapple"/>
    <x v="0"/>
    <x v="0"/>
    <n v="100"/>
    <n v="200"/>
    <n v="2"/>
    <n v="2"/>
    <n v="0"/>
    <x v="4"/>
    <x v="4"/>
    <x v="17"/>
    <n v="0"/>
  </r>
  <r>
    <s v="Chocolate Truffle"/>
    <x v="0"/>
    <x v="1"/>
    <n v="200"/>
    <n v="300"/>
    <n v="2"/>
    <n v="2"/>
    <n v="0"/>
    <x v="4"/>
    <x v="4"/>
    <x v="17"/>
    <n v="0"/>
  </r>
  <r>
    <s v="Black Forest"/>
    <x v="0"/>
    <x v="2"/>
    <n v="150"/>
    <n v="250"/>
    <n v="2"/>
    <n v="0"/>
    <n v="2"/>
    <x v="4"/>
    <x v="4"/>
    <x v="12"/>
    <n v="200"/>
  </r>
  <r>
    <s v="Butter Scotch"/>
    <x v="0"/>
    <x v="3"/>
    <n v="100"/>
    <n v="200"/>
    <n v="1"/>
    <n v="1"/>
    <n v="0"/>
    <x v="4"/>
    <x v="4"/>
    <x v="17"/>
    <n v="0"/>
  </r>
  <r>
    <s v="Pineapple"/>
    <x v="1"/>
    <x v="4"/>
    <n v="250"/>
    <n v="350"/>
    <n v="3"/>
    <n v="3"/>
    <n v="0"/>
    <x v="4"/>
    <x v="4"/>
    <x v="17"/>
    <n v="0"/>
  </r>
  <r>
    <s v="Chocolate Truffle"/>
    <x v="1"/>
    <x v="5"/>
    <n v="300"/>
    <n v="400"/>
    <n v="1"/>
    <n v="0"/>
    <n v="1"/>
    <x v="4"/>
    <x v="4"/>
    <x v="0"/>
    <n v="100"/>
  </r>
  <r>
    <s v="Black Forest"/>
    <x v="1"/>
    <x v="6"/>
    <n v="250"/>
    <n v="350"/>
    <n v="1"/>
    <n v="1"/>
    <n v="0"/>
    <x v="4"/>
    <x v="4"/>
    <x v="17"/>
    <n v="0"/>
  </r>
  <r>
    <s v="Butter Scotch"/>
    <x v="1"/>
    <x v="7"/>
    <n v="250"/>
    <n v="350"/>
    <n v="3"/>
    <n v="1"/>
    <n v="2"/>
    <x v="4"/>
    <x v="4"/>
    <x v="4"/>
    <n v="200"/>
  </r>
  <r>
    <s v="Chocochip"/>
    <x v="1"/>
    <x v="8"/>
    <n v="300"/>
    <n v="450"/>
    <n v="1"/>
    <n v="1"/>
    <n v="0"/>
    <x v="4"/>
    <x v="4"/>
    <x v="17"/>
    <n v="0"/>
  </r>
  <r>
    <s v="Fruit Cake(400gram)"/>
    <x v="2"/>
    <x v="9"/>
    <n v="320"/>
    <n v="400"/>
    <n v="1"/>
    <n v="1"/>
    <n v="0"/>
    <x v="4"/>
    <x v="4"/>
    <x v="17"/>
    <n v="0"/>
  </r>
  <r>
    <s v="Fruit Cake(200gram)"/>
    <x v="2"/>
    <x v="10"/>
    <n v="100"/>
    <n v="150"/>
    <n v="0"/>
    <n v="0"/>
    <n v="0"/>
    <x v="4"/>
    <x v="4"/>
    <x v="17"/>
    <n v="0"/>
  </r>
  <r>
    <s v="Pineapple"/>
    <x v="3"/>
    <x v="11"/>
    <n v="25"/>
    <n v="40"/>
    <n v="18"/>
    <n v="5"/>
    <n v="13"/>
    <x v="4"/>
    <x v="4"/>
    <x v="43"/>
    <n v="195"/>
  </r>
  <r>
    <s v="Chocolate Truffle"/>
    <x v="3"/>
    <x v="12"/>
    <n v="30"/>
    <n v="50"/>
    <n v="7"/>
    <n v="5"/>
    <n v="2"/>
    <x v="4"/>
    <x v="4"/>
    <x v="33"/>
    <n v="40"/>
  </r>
  <r>
    <s v="Butter Scotch"/>
    <x v="3"/>
    <x v="13"/>
    <n v="25"/>
    <n v="40"/>
    <n v="0"/>
    <n v="0"/>
    <n v="0"/>
    <x v="4"/>
    <x v="4"/>
    <x v="17"/>
    <n v="0"/>
  </r>
  <r>
    <s v="Black Forest"/>
    <x v="3"/>
    <x v="14"/>
    <n v="25"/>
    <n v="40"/>
    <n v="2"/>
    <n v="0"/>
    <n v="2"/>
    <x v="4"/>
    <x v="4"/>
    <x v="44"/>
    <n v="30"/>
  </r>
  <r>
    <s v="Chocochip"/>
    <x v="3"/>
    <x v="15"/>
    <n v="30"/>
    <n v="55"/>
    <n v="7"/>
    <n v="6"/>
    <n v="1"/>
    <x v="4"/>
    <x v="4"/>
    <x v="30"/>
    <n v="25"/>
  </r>
  <r>
    <s v="Bonfire"/>
    <x v="3"/>
    <x v="16"/>
    <n v="40"/>
    <n v="65"/>
    <n v="0"/>
    <n v="0"/>
    <n v="0"/>
    <x v="4"/>
    <x v="4"/>
    <x v="17"/>
    <n v="0"/>
  </r>
  <r>
    <s v="Choco Lava"/>
    <x v="3"/>
    <x v="17"/>
    <n v="50"/>
    <n v="70"/>
    <n v="3"/>
    <n v="3"/>
    <n v="0"/>
    <x v="4"/>
    <x v="4"/>
    <x v="17"/>
    <n v="0"/>
  </r>
  <r>
    <s v="Cupcakes"/>
    <x v="3"/>
    <x v="18"/>
    <n v="20"/>
    <n v="30"/>
    <n v="16"/>
    <n v="12"/>
    <n v="4"/>
    <x v="4"/>
    <x v="4"/>
    <x v="28"/>
    <n v="40"/>
  </r>
  <r>
    <s v="Muffins"/>
    <x v="3"/>
    <x v="19"/>
    <n v="10"/>
    <n v="20"/>
    <n v="6"/>
    <n v="6"/>
    <n v="0"/>
    <x v="4"/>
    <x v="4"/>
    <x v="17"/>
    <n v="0"/>
  </r>
  <r>
    <s v="Jar Cakes"/>
    <x v="3"/>
    <x v="20"/>
    <n v="60"/>
    <n v="100"/>
    <n v="5"/>
    <n v="5"/>
    <n v="0"/>
    <x v="4"/>
    <x v="4"/>
    <x v="17"/>
    <n v="0"/>
  </r>
  <r>
    <s v="Paneer Sandwich"/>
    <x v="4"/>
    <x v="21"/>
    <n v="50"/>
    <n v="70"/>
    <n v="5"/>
    <n v="5"/>
    <n v="0"/>
    <x v="4"/>
    <x v="4"/>
    <x v="17"/>
    <n v="0"/>
  </r>
  <r>
    <s v="Hotdog"/>
    <x v="4"/>
    <x v="22"/>
    <n v="45"/>
    <n v="65"/>
    <n v="4"/>
    <n v="4"/>
    <n v="0"/>
    <x v="4"/>
    <x v="4"/>
    <x v="17"/>
    <n v="0"/>
  </r>
  <r>
    <s v="Paneer Roll"/>
    <x v="4"/>
    <x v="23"/>
    <n v="50"/>
    <n v="70"/>
    <n v="3"/>
    <n v="3"/>
    <n v="0"/>
    <x v="4"/>
    <x v="4"/>
    <x v="17"/>
    <n v="0"/>
  </r>
  <r>
    <s v="Aloo Patiz"/>
    <x v="4"/>
    <x v="24"/>
    <n v="10"/>
    <n v="15"/>
    <n v="9"/>
    <n v="5"/>
    <n v="4"/>
    <x v="4"/>
    <x v="4"/>
    <x v="42"/>
    <n v="20"/>
  </r>
  <r>
    <s v="Paneer Patiz"/>
    <x v="4"/>
    <x v="25"/>
    <n v="20"/>
    <n v="25"/>
    <n v="9"/>
    <n v="7"/>
    <n v="2"/>
    <x v="4"/>
    <x v="4"/>
    <x v="41"/>
    <n v="10"/>
  </r>
  <r>
    <s v="Pao"/>
    <x v="5"/>
    <x v="26"/>
    <n v="25"/>
    <n v="30"/>
    <n v="10"/>
    <n v="3"/>
    <n v="7"/>
    <x v="4"/>
    <x v="4"/>
    <x v="24"/>
    <n v="35"/>
  </r>
  <r>
    <s v="Burger Buns"/>
    <x v="5"/>
    <x v="27"/>
    <n v="25"/>
    <n v="30"/>
    <n v="8"/>
    <n v="7"/>
    <n v="1"/>
    <x v="4"/>
    <x v="4"/>
    <x v="32"/>
    <n v="5"/>
  </r>
  <r>
    <s v="Pizza Base"/>
    <x v="5"/>
    <x v="28"/>
    <n v="25"/>
    <n v="30"/>
    <n v="3"/>
    <n v="0"/>
    <n v="3"/>
    <x v="4"/>
    <x v="4"/>
    <x v="38"/>
    <n v="15"/>
  </r>
  <r>
    <s v="Brown Bread"/>
    <x v="5"/>
    <x v="29"/>
    <n v="30"/>
    <n v="35"/>
    <n v="3"/>
    <n v="0"/>
    <n v="3"/>
    <x v="4"/>
    <x v="4"/>
    <x v="45"/>
    <n v="15"/>
  </r>
  <r>
    <s v="Pineapple"/>
    <x v="0"/>
    <x v="0"/>
    <n v="100"/>
    <n v="200"/>
    <n v="11"/>
    <n v="9"/>
    <n v="2"/>
    <x v="5"/>
    <x v="5"/>
    <x v="0"/>
    <n v="200"/>
  </r>
  <r>
    <s v="Chocolate Truffle"/>
    <x v="0"/>
    <x v="1"/>
    <n v="200"/>
    <n v="300"/>
    <n v="4"/>
    <n v="2"/>
    <n v="2"/>
    <x v="5"/>
    <x v="5"/>
    <x v="3"/>
    <n v="200"/>
  </r>
  <r>
    <s v="Black Forest"/>
    <x v="0"/>
    <x v="2"/>
    <n v="150"/>
    <n v="250"/>
    <n v="1"/>
    <n v="1"/>
    <n v="0"/>
    <x v="5"/>
    <x v="5"/>
    <x v="17"/>
    <n v="0"/>
  </r>
  <r>
    <s v="Butter Scotch"/>
    <x v="0"/>
    <x v="3"/>
    <n v="100"/>
    <n v="200"/>
    <n v="9"/>
    <n v="8"/>
    <n v="1"/>
    <x v="5"/>
    <x v="5"/>
    <x v="19"/>
    <n v="100"/>
  </r>
  <r>
    <s v="Pineapple"/>
    <x v="1"/>
    <x v="4"/>
    <n v="250"/>
    <n v="350"/>
    <n v="7"/>
    <n v="2"/>
    <n v="5"/>
    <x v="5"/>
    <x v="5"/>
    <x v="46"/>
    <n v="500"/>
  </r>
  <r>
    <s v="Chocolate Truffle"/>
    <x v="1"/>
    <x v="5"/>
    <n v="300"/>
    <n v="400"/>
    <n v="0"/>
    <n v="0"/>
    <n v="0"/>
    <x v="5"/>
    <x v="5"/>
    <x v="17"/>
    <n v="0"/>
  </r>
  <r>
    <s v="Black Forest"/>
    <x v="1"/>
    <x v="6"/>
    <n v="250"/>
    <n v="350"/>
    <n v="5"/>
    <n v="0"/>
    <n v="5"/>
    <x v="5"/>
    <x v="5"/>
    <x v="46"/>
    <n v="500"/>
  </r>
  <r>
    <s v="Butter Scotch"/>
    <x v="1"/>
    <x v="7"/>
    <n v="250"/>
    <n v="350"/>
    <n v="6"/>
    <n v="2"/>
    <n v="4"/>
    <x v="5"/>
    <x v="5"/>
    <x v="6"/>
    <n v="400"/>
  </r>
  <r>
    <s v="Chocochip"/>
    <x v="1"/>
    <x v="8"/>
    <n v="300"/>
    <n v="450"/>
    <n v="3"/>
    <n v="1"/>
    <n v="2"/>
    <x v="5"/>
    <x v="5"/>
    <x v="1"/>
    <n v="300"/>
  </r>
  <r>
    <s v="Fruit Cake(400gram)"/>
    <x v="2"/>
    <x v="9"/>
    <n v="320"/>
    <n v="400"/>
    <n v="2"/>
    <n v="2"/>
    <n v="0"/>
    <x v="5"/>
    <x v="5"/>
    <x v="17"/>
    <n v="0"/>
  </r>
  <r>
    <s v="Fruit Cake(200gram)"/>
    <x v="2"/>
    <x v="10"/>
    <n v="100"/>
    <n v="150"/>
    <n v="10"/>
    <n v="9"/>
    <n v="1"/>
    <x v="5"/>
    <x v="5"/>
    <x v="22"/>
    <n v="50"/>
  </r>
  <r>
    <s v="Pineapple"/>
    <x v="3"/>
    <x v="11"/>
    <n v="25"/>
    <n v="40"/>
    <n v="25"/>
    <n v="19"/>
    <n v="6"/>
    <x v="5"/>
    <x v="5"/>
    <x v="47"/>
    <n v="90"/>
  </r>
  <r>
    <s v="Chocolate Truffle"/>
    <x v="3"/>
    <x v="12"/>
    <n v="30"/>
    <n v="50"/>
    <n v="21"/>
    <n v="14"/>
    <n v="7"/>
    <x v="5"/>
    <x v="5"/>
    <x v="7"/>
    <n v="140"/>
  </r>
  <r>
    <s v="Butter Scotch"/>
    <x v="3"/>
    <x v="13"/>
    <n v="25"/>
    <n v="40"/>
    <n v="20"/>
    <n v="12"/>
    <n v="8"/>
    <x v="5"/>
    <x v="5"/>
    <x v="48"/>
    <n v="120"/>
  </r>
  <r>
    <s v="Black Forest"/>
    <x v="3"/>
    <x v="14"/>
    <n v="25"/>
    <n v="40"/>
    <n v="32"/>
    <n v="22"/>
    <n v="10"/>
    <x v="5"/>
    <x v="5"/>
    <x v="0"/>
    <n v="150"/>
  </r>
  <r>
    <s v="Chocochip"/>
    <x v="3"/>
    <x v="15"/>
    <n v="30"/>
    <n v="55"/>
    <n v="30"/>
    <n v="25"/>
    <n v="5"/>
    <x v="5"/>
    <x v="5"/>
    <x v="36"/>
    <n v="125"/>
  </r>
  <r>
    <s v="Bonfire"/>
    <x v="3"/>
    <x v="16"/>
    <n v="40"/>
    <n v="65"/>
    <n v="20"/>
    <n v="10"/>
    <n v="10"/>
    <x v="5"/>
    <x v="5"/>
    <x v="31"/>
    <n v="250"/>
  </r>
  <r>
    <s v="Choco Lava"/>
    <x v="3"/>
    <x v="17"/>
    <n v="50"/>
    <n v="70"/>
    <n v="3"/>
    <n v="2"/>
    <n v="1"/>
    <x v="5"/>
    <x v="5"/>
    <x v="20"/>
    <n v="20"/>
  </r>
  <r>
    <s v="Cupcakes"/>
    <x v="3"/>
    <x v="18"/>
    <n v="20"/>
    <n v="30"/>
    <n v="57"/>
    <n v="45"/>
    <n v="12"/>
    <x v="5"/>
    <x v="5"/>
    <x v="23"/>
    <n v="120"/>
  </r>
  <r>
    <s v="Muffins"/>
    <x v="3"/>
    <x v="19"/>
    <n v="10"/>
    <n v="20"/>
    <n v="6"/>
    <n v="4"/>
    <n v="2"/>
    <x v="5"/>
    <x v="5"/>
    <x v="35"/>
    <n v="20"/>
  </r>
  <r>
    <s v="Jar Cakes"/>
    <x v="3"/>
    <x v="20"/>
    <n v="60"/>
    <n v="100"/>
    <n v="22"/>
    <n v="6"/>
    <n v="16"/>
    <x v="5"/>
    <x v="5"/>
    <x v="5"/>
    <n v="640"/>
  </r>
  <r>
    <s v="Paneer Sandwich"/>
    <x v="4"/>
    <x v="21"/>
    <n v="50"/>
    <n v="70"/>
    <n v="5"/>
    <n v="5"/>
    <n v="0"/>
    <x v="5"/>
    <x v="5"/>
    <x v="17"/>
    <n v="0"/>
  </r>
  <r>
    <s v="Hotdog"/>
    <x v="4"/>
    <x v="22"/>
    <n v="45"/>
    <n v="65"/>
    <n v="4"/>
    <n v="4"/>
    <n v="0"/>
    <x v="5"/>
    <x v="5"/>
    <x v="17"/>
    <n v="0"/>
  </r>
  <r>
    <s v="Paneer Roll"/>
    <x v="4"/>
    <x v="23"/>
    <n v="50"/>
    <n v="70"/>
    <n v="3"/>
    <n v="3"/>
    <n v="0"/>
    <x v="5"/>
    <x v="5"/>
    <x v="17"/>
    <n v="0"/>
  </r>
  <r>
    <s v="Aloo Patiz"/>
    <x v="4"/>
    <x v="24"/>
    <n v="10"/>
    <n v="15"/>
    <n v="5"/>
    <n v="0"/>
    <n v="5"/>
    <x v="5"/>
    <x v="5"/>
    <x v="49"/>
    <n v="25"/>
  </r>
  <r>
    <s v="Paneer Patiz"/>
    <x v="4"/>
    <x v="25"/>
    <n v="20"/>
    <n v="25"/>
    <n v="7"/>
    <n v="3"/>
    <n v="4"/>
    <x v="5"/>
    <x v="5"/>
    <x v="33"/>
    <n v="20"/>
  </r>
  <r>
    <s v="Pao"/>
    <x v="5"/>
    <x v="26"/>
    <n v="25"/>
    <n v="30"/>
    <n v="18"/>
    <n v="16"/>
    <n v="2"/>
    <x v="5"/>
    <x v="5"/>
    <x v="42"/>
    <n v="10"/>
  </r>
  <r>
    <s v="Burger Buns"/>
    <x v="5"/>
    <x v="27"/>
    <n v="25"/>
    <n v="30"/>
    <n v="7"/>
    <n v="7"/>
    <n v="0"/>
    <x v="5"/>
    <x v="5"/>
    <x v="17"/>
    <n v="0"/>
  </r>
  <r>
    <s v="Pizza Base"/>
    <x v="5"/>
    <x v="28"/>
    <n v="25"/>
    <n v="30"/>
    <n v="5"/>
    <n v="0"/>
    <n v="5"/>
    <x v="5"/>
    <x v="5"/>
    <x v="22"/>
    <n v="25"/>
  </r>
  <r>
    <s v="Brown Bread"/>
    <x v="5"/>
    <x v="29"/>
    <n v="30"/>
    <n v="35"/>
    <n v="13"/>
    <n v="10"/>
    <n v="3"/>
    <x v="5"/>
    <x v="5"/>
    <x v="45"/>
    <n v="15"/>
  </r>
  <r>
    <s v="Pineapple"/>
    <x v="0"/>
    <x v="0"/>
    <n v="100"/>
    <n v="200"/>
    <n v="16"/>
    <n v="5"/>
    <n v="11"/>
    <x v="6"/>
    <x v="6"/>
    <x v="50"/>
    <n v="1100"/>
  </r>
  <r>
    <s v="Chocolate Truffle"/>
    <x v="0"/>
    <x v="1"/>
    <n v="200"/>
    <n v="300"/>
    <n v="8"/>
    <n v="2"/>
    <n v="6"/>
    <x v="6"/>
    <x v="6"/>
    <x v="51"/>
    <n v="600"/>
  </r>
  <r>
    <s v="Black Forest"/>
    <x v="0"/>
    <x v="2"/>
    <n v="150"/>
    <n v="250"/>
    <n v="6"/>
    <n v="3"/>
    <n v="3"/>
    <x v="6"/>
    <x v="6"/>
    <x v="2"/>
    <n v="300"/>
  </r>
  <r>
    <s v="Butter Scotch"/>
    <x v="0"/>
    <x v="3"/>
    <n v="100"/>
    <n v="200"/>
    <n v="15"/>
    <n v="8"/>
    <n v="7"/>
    <x v="6"/>
    <x v="6"/>
    <x v="6"/>
    <n v="700"/>
  </r>
  <r>
    <s v="Pineapple"/>
    <x v="1"/>
    <x v="4"/>
    <n v="250"/>
    <n v="350"/>
    <n v="15"/>
    <n v="4"/>
    <n v="11"/>
    <x v="6"/>
    <x v="6"/>
    <x v="52"/>
    <n v="1100"/>
  </r>
  <r>
    <s v="Chocolate Truffle"/>
    <x v="1"/>
    <x v="5"/>
    <n v="300"/>
    <n v="400"/>
    <n v="2"/>
    <n v="1"/>
    <n v="1"/>
    <x v="6"/>
    <x v="6"/>
    <x v="0"/>
    <n v="100"/>
  </r>
  <r>
    <s v="Black Forest"/>
    <x v="1"/>
    <x v="6"/>
    <n v="250"/>
    <n v="350"/>
    <n v="6"/>
    <n v="1"/>
    <n v="5"/>
    <x v="6"/>
    <x v="6"/>
    <x v="46"/>
    <n v="500"/>
  </r>
  <r>
    <s v="Butter Scotch"/>
    <x v="1"/>
    <x v="7"/>
    <n v="250"/>
    <n v="350"/>
    <n v="13"/>
    <n v="2"/>
    <n v="11"/>
    <x v="6"/>
    <x v="6"/>
    <x v="52"/>
    <n v="1100"/>
  </r>
  <r>
    <s v="Chocochip"/>
    <x v="1"/>
    <x v="8"/>
    <n v="300"/>
    <n v="450"/>
    <n v="6"/>
    <n v="3"/>
    <n v="3"/>
    <x v="6"/>
    <x v="6"/>
    <x v="27"/>
    <n v="450"/>
  </r>
  <r>
    <s v="Fruit Cake(400gram)"/>
    <x v="2"/>
    <x v="9"/>
    <n v="320"/>
    <n v="400"/>
    <n v="2"/>
    <n v="0"/>
    <n v="2"/>
    <x v="6"/>
    <x v="6"/>
    <x v="53"/>
    <n v="160"/>
  </r>
  <r>
    <s v="Fruit Cake(200gram)"/>
    <x v="2"/>
    <x v="10"/>
    <n v="100"/>
    <n v="150"/>
    <n v="10"/>
    <n v="3"/>
    <n v="7"/>
    <x v="6"/>
    <x v="6"/>
    <x v="54"/>
    <n v="350"/>
  </r>
  <r>
    <s v="Pineapple"/>
    <x v="3"/>
    <x v="11"/>
    <n v="25"/>
    <n v="40"/>
    <n v="6"/>
    <n v="0"/>
    <n v="6"/>
    <x v="6"/>
    <x v="6"/>
    <x v="47"/>
    <n v="90"/>
  </r>
  <r>
    <s v="Chocolate Truffle"/>
    <x v="3"/>
    <x v="12"/>
    <n v="30"/>
    <n v="50"/>
    <n v="7"/>
    <n v="4"/>
    <n v="3"/>
    <x v="6"/>
    <x v="6"/>
    <x v="22"/>
    <n v="60"/>
  </r>
  <r>
    <s v="Butter Scotch"/>
    <x v="3"/>
    <x v="13"/>
    <n v="25"/>
    <n v="40"/>
    <n v="8"/>
    <n v="0"/>
    <n v="8"/>
    <x v="6"/>
    <x v="6"/>
    <x v="48"/>
    <n v="120"/>
  </r>
  <r>
    <s v="Black Forest"/>
    <x v="3"/>
    <x v="14"/>
    <n v="25"/>
    <n v="40"/>
    <n v="10"/>
    <n v="0"/>
    <n v="10"/>
    <x v="6"/>
    <x v="6"/>
    <x v="0"/>
    <n v="150"/>
  </r>
  <r>
    <s v="Chocochip"/>
    <x v="3"/>
    <x v="15"/>
    <n v="30"/>
    <n v="55"/>
    <n v="5"/>
    <n v="3"/>
    <n v="2"/>
    <x v="6"/>
    <x v="6"/>
    <x v="55"/>
    <n v="50"/>
  </r>
  <r>
    <s v="Bonfire"/>
    <x v="3"/>
    <x v="16"/>
    <n v="40"/>
    <n v="65"/>
    <n v="10"/>
    <n v="6"/>
    <n v="4"/>
    <x v="6"/>
    <x v="6"/>
    <x v="56"/>
    <n v="100"/>
  </r>
  <r>
    <s v="Choco Lava"/>
    <x v="3"/>
    <x v="17"/>
    <n v="50"/>
    <n v="70"/>
    <n v="1"/>
    <n v="0"/>
    <n v="1"/>
    <x v="6"/>
    <x v="6"/>
    <x v="20"/>
    <n v="20"/>
  </r>
  <r>
    <s v="Cupcakes"/>
    <x v="3"/>
    <x v="18"/>
    <n v="20"/>
    <n v="30"/>
    <n v="1"/>
    <n v="0"/>
    <n v="1"/>
    <x v="6"/>
    <x v="6"/>
    <x v="32"/>
    <n v="10"/>
  </r>
  <r>
    <s v="Muffins"/>
    <x v="3"/>
    <x v="19"/>
    <n v="10"/>
    <n v="20"/>
    <n v="4"/>
    <n v="4"/>
    <n v="0"/>
    <x v="6"/>
    <x v="6"/>
    <x v="17"/>
    <n v="0"/>
  </r>
  <r>
    <s v="Jar Cakes"/>
    <x v="3"/>
    <x v="20"/>
    <n v="60"/>
    <n v="100"/>
    <n v="6"/>
    <n v="6"/>
    <n v="0"/>
    <x v="6"/>
    <x v="6"/>
    <x v="17"/>
    <n v="0"/>
  </r>
  <r>
    <s v="Paneer Sandwich"/>
    <x v="4"/>
    <x v="21"/>
    <n v="50"/>
    <n v="70"/>
    <n v="5"/>
    <n v="0"/>
    <n v="5"/>
    <x v="6"/>
    <x v="6"/>
    <x v="7"/>
    <n v="100"/>
  </r>
  <r>
    <s v="Hotdog"/>
    <x v="4"/>
    <x v="22"/>
    <n v="45"/>
    <n v="65"/>
    <n v="4"/>
    <n v="4"/>
    <n v="0"/>
    <x v="6"/>
    <x v="6"/>
    <x v="17"/>
    <n v="0"/>
  </r>
  <r>
    <s v="Paneer Roll"/>
    <x v="4"/>
    <x v="23"/>
    <n v="50"/>
    <n v="70"/>
    <n v="3"/>
    <n v="3"/>
    <n v="0"/>
    <x v="6"/>
    <x v="6"/>
    <x v="17"/>
    <n v="0"/>
  </r>
  <r>
    <s v="Aloo Patiz"/>
    <x v="4"/>
    <x v="24"/>
    <n v="10"/>
    <n v="15"/>
    <n v="20"/>
    <n v="3"/>
    <n v="17"/>
    <x v="6"/>
    <x v="6"/>
    <x v="57"/>
    <n v="85"/>
  </r>
  <r>
    <s v="Paneer Patiz"/>
    <x v="4"/>
    <x v="25"/>
    <n v="20"/>
    <n v="25"/>
    <n v="22"/>
    <n v="2"/>
    <n v="20"/>
    <x v="6"/>
    <x v="6"/>
    <x v="12"/>
    <n v="100"/>
  </r>
  <r>
    <s v="Pao"/>
    <x v="5"/>
    <x v="26"/>
    <n v="25"/>
    <n v="30"/>
    <n v="35"/>
    <n v="18"/>
    <n v="17"/>
    <x v="6"/>
    <x v="6"/>
    <x v="58"/>
    <n v="85"/>
  </r>
  <r>
    <s v="Burger Buns"/>
    <x v="5"/>
    <x v="27"/>
    <n v="25"/>
    <n v="30"/>
    <n v="17"/>
    <n v="10"/>
    <n v="7"/>
    <x v="6"/>
    <x v="6"/>
    <x v="24"/>
    <n v="35"/>
  </r>
  <r>
    <s v="Pizza Base"/>
    <x v="5"/>
    <x v="28"/>
    <n v="25"/>
    <n v="30"/>
    <n v="25"/>
    <n v="11"/>
    <n v="14"/>
    <x v="6"/>
    <x v="6"/>
    <x v="59"/>
    <n v="70"/>
  </r>
  <r>
    <s v="Brown Bread"/>
    <x v="5"/>
    <x v="29"/>
    <n v="30"/>
    <n v="35"/>
    <n v="13"/>
    <n v="7"/>
    <n v="6"/>
    <x v="6"/>
    <x v="6"/>
    <x v="24"/>
    <n v="30"/>
  </r>
  <r>
    <s v="Pineapple"/>
    <x v="0"/>
    <x v="0"/>
    <n v="100"/>
    <n v="200"/>
    <n v="5"/>
    <n v="0"/>
    <n v="5"/>
    <x v="7"/>
    <x v="0"/>
    <x v="60"/>
    <n v="500"/>
  </r>
  <r>
    <s v="Chocolate Truffle"/>
    <x v="0"/>
    <x v="1"/>
    <n v="200"/>
    <n v="300"/>
    <n v="2"/>
    <n v="0"/>
    <n v="2"/>
    <x v="7"/>
    <x v="0"/>
    <x v="3"/>
    <n v="200"/>
  </r>
  <r>
    <s v="Black Forest"/>
    <x v="0"/>
    <x v="2"/>
    <n v="150"/>
    <n v="250"/>
    <n v="3"/>
    <n v="0"/>
    <n v="3"/>
    <x v="7"/>
    <x v="0"/>
    <x v="2"/>
    <n v="300"/>
  </r>
  <r>
    <s v="Butter Scotch"/>
    <x v="0"/>
    <x v="3"/>
    <n v="100"/>
    <n v="200"/>
    <n v="8"/>
    <n v="0"/>
    <n v="8"/>
    <x v="7"/>
    <x v="0"/>
    <x v="5"/>
    <n v="800"/>
  </r>
  <r>
    <s v="Pineapple"/>
    <x v="1"/>
    <x v="4"/>
    <n v="250"/>
    <n v="350"/>
    <n v="4"/>
    <n v="1"/>
    <n v="3"/>
    <x v="7"/>
    <x v="0"/>
    <x v="54"/>
    <n v="300"/>
  </r>
  <r>
    <s v="Chocolate Truffle"/>
    <x v="1"/>
    <x v="5"/>
    <n v="300"/>
    <n v="400"/>
    <n v="1"/>
    <n v="0"/>
    <n v="1"/>
    <x v="7"/>
    <x v="0"/>
    <x v="0"/>
    <n v="100"/>
  </r>
  <r>
    <s v="Black Forest"/>
    <x v="1"/>
    <x v="6"/>
    <n v="250"/>
    <n v="350"/>
    <n v="1"/>
    <n v="1"/>
    <n v="0"/>
    <x v="7"/>
    <x v="0"/>
    <x v="17"/>
    <n v="0"/>
  </r>
  <r>
    <s v="Butter Scotch"/>
    <x v="1"/>
    <x v="7"/>
    <n v="250"/>
    <n v="350"/>
    <n v="2"/>
    <n v="0"/>
    <n v="2"/>
    <x v="7"/>
    <x v="0"/>
    <x v="4"/>
    <n v="200"/>
  </r>
  <r>
    <s v="Chocochip"/>
    <x v="1"/>
    <x v="8"/>
    <n v="300"/>
    <n v="450"/>
    <n v="3"/>
    <n v="1"/>
    <n v="2"/>
    <x v="7"/>
    <x v="0"/>
    <x v="1"/>
    <n v="300"/>
  </r>
  <r>
    <s v="Fruit Cake(400gram)"/>
    <x v="2"/>
    <x v="9"/>
    <n v="320"/>
    <n v="400"/>
    <n v="0"/>
    <n v="0"/>
    <n v="0"/>
    <x v="7"/>
    <x v="0"/>
    <x v="17"/>
    <n v="0"/>
  </r>
  <r>
    <s v="Fruit Cake(200gram)"/>
    <x v="2"/>
    <x v="10"/>
    <n v="100"/>
    <n v="150"/>
    <n v="3"/>
    <n v="2"/>
    <n v="1"/>
    <x v="7"/>
    <x v="0"/>
    <x v="22"/>
    <n v="50"/>
  </r>
  <r>
    <s v="Pineapple"/>
    <x v="3"/>
    <x v="11"/>
    <n v="25"/>
    <n v="40"/>
    <n v="0"/>
    <n v="0"/>
    <n v="0"/>
    <x v="7"/>
    <x v="0"/>
    <x v="17"/>
    <n v="0"/>
  </r>
  <r>
    <s v="Chocolate Truffle"/>
    <x v="3"/>
    <x v="12"/>
    <n v="30"/>
    <n v="50"/>
    <n v="4"/>
    <n v="4"/>
    <n v="0"/>
    <x v="7"/>
    <x v="0"/>
    <x v="17"/>
    <n v="0"/>
  </r>
  <r>
    <s v="Butter Scotch"/>
    <x v="3"/>
    <x v="13"/>
    <n v="25"/>
    <n v="40"/>
    <n v="0"/>
    <n v="0"/>
    <n v="0"/>
    <x v="7"/>
    <x v="0"/>
    <x v="17"/>
    <n v="0"/>
  </r>
  <r>
    <s v="Black Forest"/>
    <x v="3"/>
    <x v="14"/>
    <n v="25"/>
    <n v="40"/>
    <n v="0"/>
    <n v="0"/>
    <n v="0"/>
    <x v="7"/>
    <x v="0"/>
    <x v="17"/>
    <n v="0"/>
  </r>
  <r>
    <s v="Chocochip"/>
    <x v="3"/>
    <x v="15"/>
    <n v="30"/>
    <n v="55"/>
    <n v="3"/>
    <n v="3"/>
    <n v="0"/>
    <x v="7"/>
    <x v="0"/>
    <x v="17"/>
    <n v="0"/>
  </r>
  <r>
    <s v="Bonfire"/>
    <x v="3"/>
    <x v="16"/>
    <n v="40"/>
    <n v="65"/>
    <n v="6"/>
    <n v="6"/>
    <n v="0"/>
    <x v="7"/>
    <x v="0"/>
    <x v="17"/>
    <n v="0"/>
  </r>
  <r>
    <s v="Choco Lava"/>
    <x v="3"/>
    <x v="17"/>
    <n v="50"/>
    <n v="70"/>
    <n v="0"/>
    <n v="0"/>
    <n v="0"/>
    <x v="7"/>
    <x v="0"/>
    <x v="17"/>
    <n v="0"/>
  </r>
  <r>
    <s v="Cupcakes"/>
    <x v="3"/>
    <x v="18"/>
    <n v="20"/>
    <n v="30"/>
    <n v="0"/>
    <n v="0"/>
    <n v="0"/>
    <x v="7"/>
    <x v="0"/>
    <x v="17"/>
    <n v="0"/>
  </r>
  <r>
    <s v="Muffins"/>
    <x v="3"/>
    <x v="19"/>
    <n v="10"/>
    <n v="20"/>
    <n v="4"/>
    <n v="4"/>
    <n v="0"/>
    <x v="7"/>
    <x v="0"/>
    <x v="17"/>
    <n v="0"/>
  </r>
  <r>
    <s v="Jar Cakes"/>
    <x v="3"/>
    <x v="20"/>
    <n v="60"/>
    <n v="100"/>
    <n v="6"/>
    <n v="6"/>
    <n v="0"/>
    <x v="7"/>
    <x v="0"/>
    <x v="17"/>
    <n v="0"/>
  </r>
  <r>
    <s v="Paneer Sandwich"/>
    <x v="4"/>
    <x v="21"/>
    <n v="50"/>
    <n v="70"/>
    <n v="0"/>
    <n v="0"/>
    <n v="0"/>
    <x v="7"/>
    <x v="0"/>
    <x v="17"/>
    <n v="0"/>
  </r>
  <r>
    <s v="Hotdog"/>
    <x v="4"/>
    <x v="22"/>
    <n v="45"/>
    <n v="65"/>
    <n v="4"/>
    <n v="4"/>
    <n v="0"/>
    <x v="7"/>
    <x v="0"/>
    <x v="17"/>
    <n v="0"/>
  </r>
  <r>
    <s v="Paneer Roll"/>
    <x v="4"/>
    <x v="23"/>
    <n v="50"/>
    <n v="70"/>
    <n v="3"/>
    <n v="3"/>
    <n v="0"/>
    <x v="7"/>
    <x v="0"/>
    <x v="17"/>
    <n v="0"/>
  </r>
  <r>
    <s v="Aloo Patiz"/>
    <x v="4"/>
    <x v="24"/>
    <n v="10"/>
    <n v="15"/>
    <n v="3"/>
    <n v="0"/>
    <n v="3"/>
    <x v="7"/>
    <x v="0"/>
    <x v="61"/>
    <n v="15"/>
  </r>
  <r>
    <s v="Paneer Patiz"/>
    <x v="4"/>
    <x v="25"/>
    <n v="20"/>
    <n v="25"/>
    <n v="2"/>
    <n v="0"/>
    <n v="2"/>
    <x v="7"/>
    <x v="0"/>
    <x v="41"/>
    <n v="10"/>
  </r>
  <r>
    <s v="Pao"/>
    <x v="5"/>
    <x v="26"/>
    <n v="25"/>
    <n v="30"/>
    <n v="18"/>
    <n v="16"/>
    <n v="2"/>
    <x v="7"/>
    <x v="0"/>
    <x v="42"/>
    <n v="10"/>
  </r>
  <r>
    <s v="Burger Buns"/>
    <x v="5"/>
    <x v="27"/>
    <n v="25"/>
    <n v="30"/>
    <n v="10"/>
    <n v="10"/>
    <n v="0"/>
    <x v="7"/>
    <x v="0"/>
    <x v="17"/>
    <n v="0"/>
  </r>
  <r>
    <s v="Pizza Base"/>
    <x v="5"/>
    <x v="28"/>
    <n v="25"/>
    <n v="30"/>
    <n v="11"/>
    <n v="10"/>
    <n v="1"/>
    <x v="7"/>
    <x v="0"/>
    <x v="32"/>
    <n v="5"/>
  </r>
  <r>
    <s v="Brown Bread"/>
    <x v="5"/>
    <x v="29"/>
    <n v="30"/>
    <n v="35"/>
    <n v="7"/>
    <n v="5"/>
    <n v="2"/>
    <x v="7"/>
    <x v="0"/>
    <x v="20"/>
    <n v="10"/>
  </r>
  <r>
    <s v="Pineapple"/>
    <x v="0"/>
    <x v="0"/>
    <n v="100"/>
    <n v="200"/>
    <n v="3"/>
    <n v="3"/>
    <n v="0"/>
    <x v="8"/>
    <x v="1"/>
    <x v="17"/>
    <n v="0"/>
  </r>
  <r>
    <s v="Chocolate Truffle"/>
    <x v="0"/>
    <x v="1"/>
    <n v="200"/>
    <n v="300"/>
    <n v="0"/>
    <n v="0"/>
    <n v="0"/>
    <x v="8"/>
    <x v="1"/>
    <x v="17"/>
    <n v="0"/>
  </r>
  <r>
    <s v="Black Forest"/>
    <x v="0"/>
    <x v="2"/>
    <n v="150"/>
    <n v="250"/>
    <n v="1"/>
    <n v="1"/>
    <n v="0"/>
    <x v="8"/>
    <x v="1"/>
    <x v="17"/>
    <n v="0"/>
  </r>
  <r>
    <s v="Butter Scotch"/>
    <x v="0"/>
    <x v="3"/>
    <n v="100"/>
    <n v="200"/>
    <n v="0"/>
    <n v="0"/>
    <n v="0"/>
    <x v="8"/>
    <x v="1"/>
    <x v="17"/>
    <n v="0"/>
  </r>
  <r>
    <s v="Pineapple"/>
    <x v="1"/>
    <x v="4"/>
    <n v="250"/>
    <n v="350"/>
    <n v="2"/>
    <n v="2"/>
    <n v="0"/>
    <x v="8"/>
    <x v="1"/>
    <x v="17"/>
    <n v="0"/>
  </r>
  <r>
    <s v="Chocolate Truffle"/>
    <x v="1"/>
    <x v="5"/>
    <n v="300"/>
    <n v="400"/>
    <n v="1"/>
    <n v="1"/>
    <n v="0"/>
    <x v="8"/>
    <x v="1"/>
    <x v="17"/>
    <n v="0"/>
  </r>
  <r>
    <s v="Black Forest"/>
    <x v="1"/>
    <x v="6"/>
    <n v="250"/>
    <n v="350"/>
    <n v="1"/>
    <n v="0"/>
    <n v="1"/>
    <x v="8"/>
    <x v="1"/>
    <x v="7"/>
    <n v="100"/>
  </r>
  <r>
    <s v="Butter Scotch"/>
    <x v="1"/>
    <x v="7"/>
    <n v="250"/>
    <n v="350"/>
    <n v="0"/>
    <n v="0"/>
    <n v="0"/>
    <x v="8"/>
    <x v="1"/>
    <x v="17"/>
    <n v="0"/>
  </r>
  <r>
    <s v="Chocochip"/>
    <x v="1"/>
    <x v="8"/>
    <n v="300"/>
    <n v="450"/>
    <n v="1"/>
    <n v="0"/>
    <n v="1"/>
    <x v="8"/>
    <x v="1"/>
    <x v="8"/>
    <n v="150"/>
  </r>
  <r>
    <s v="Fruit Cake(400gram)"/>
    <x v="2"/>
    <x v="9"/>
    <n v="320"/>
    <n v="400"/>
    <n v="0"/>
    <n v="0"/>
    <n v="0"/>
    <x v="8"/>
    <x v="1"/>
    <x v="17"/>
    <n v="0"/>
  </r>
  <r>
    <s v="Fruit Cake(200gram)"/>
    <x v="2"/>
    <x v="10"/>
    <n v="100"/>
    <n v="150"/>
    <n v="2"/>
    <n v="0"/>
    <n v="2"/>
    <x v="8"/>
    <x v="1"/>
    <x v="62"/>
    <n v="100"/>
  </r>
  <r>
    <s v="Pineapple"/>
    <x v="3"/>
    <x v="11"/>
    <n v="25"/>
    <n v="40"/>
    <n v="10"/>
    <n v="0"/>
    <n v="10"/>
    <x v="8"/>
    <x v="1"/>
    <x v="0"/>
    <n v="150"/>
  </r>
  <r>
    <s v="Chocolate Truffle"/>
    <x v="3"/>
    <x v="12"/>
    <n v="30"/>
    <n v="50"/>
    <n v="4"/>
    <n v="0"/>
    <n v="4"/>
    <x v="8"/>
    <x v="1"/>
    <x v="19"/>
    <n v="80"/>
  </r>
  <r>
    <s v="Butter Scotch"/>
    <x v="3"/>
    <x v="13"/>
    <n v="25"/>
    <n v="40"/>
    <n v="10"/>
    <n v="6"/>
    <n v="4"/>
    <x v="8"/>
    <x v="1"/>
    <x v="63"/>
    <n v="60"/>
  </r>
  <r>
    <s v="Black Forest"/>
    <x v="3"/>
    <x v="14"/>
    <n v="25"/>
    <n v="40"/>
    <n v="10"/>
    <n v="0"/>
    <n v="10"/>
    <x v="8"/>
    <x v="1"/>
    <x v="0"/>
    <n v="150"/>
  </r>
  <r>
    <s v="Chocochip"/>
    <x v="3"/>
    <x v="15"/>
    <n v="30"/>
    <n v="55"/>
    <n v="3"/>
    <n v="0"/>
    <n v="3"/>
    <x v="8"/>
    <x v="1"/>
    <x v="40"/>
    <n v="75"/>
  </r>
  <r>
    <s v="Bonfire"/>
    <x v="3"/>
    <x v="16"/>
    <n v="40"/>
    <n v="65"/>
    <n v="6"/>
    <n v="2"/>
    <n v="4"/>
    <x v="8"/>
    <x v="1"/>
    <x v="56"/>
    <n v="100"/>
  </r>
  <r>
    <s v="Choco Lava"/>
    <x v="3"/>
    <x v="17"/>
    <n v="50"/>
    <n v="70"/>
    <n v="0"/>
    <n v="0"/>
    <n v="0"/>
    <x v="8"/>
    <x v="1"/>
    <x v="17"/>
    <n v="0"/>
  </r>
  <r>
    <s v="Cupcakes"/>
    <x v="3"/>
    <x v="18"/>
    <n v="20"/>
    <n v="30"/>
    <n v="0"/>
    <n v="0"/>
    <n v="0"/>
    <x v="8"/>
    <x v="1"/>
    <x v="17"/>
    <n v="0"/>
  </r>
  <r>
    <s v="Muffins"/>
    <x v="3"/>
    <x v="19"/>
    <n v="10"/>
    <n v="20"/>
    <n v="4"/>
    <n v="0"/>
    <n v="4"/>
    <x v="8"/>
    <x v="1"/>
    <x v="44"/>
    <n v="40"/>
  </r>
  <r>
    <s v="Jar Cakes"/>
    <x v="3"/>
    <x v="20"/>
    <n v="60"/>
    <n v="100"/>
    <n v="6"/>
    <n v="6"/>
    <n v="0"/>
    <x v="8"/>
    <x v="1"/>
    <x v="17"/>
    <n v="0"/>
  </r>
  <r>
    <s v="Paneer Sandwich"/>
    <x v="4"/>
    <x v="21"/>
    <n v="50"/>
    <n v="70"/>
    <n v="0"/>
    <n v="0"/>
    <n v="0"/>
    <x v="8"/>
    <x v="1"/>
    <x v="17"/>
    <n v="0"/>
  </r>
  <r>
    <s v="Hotdog"/>
    <x v="4"/>
    <x v="22"/>
    <n v="45"/>
    <n v="65"/>
    <n v="4"/>
    <n v="4"/>
    <n v="0"/>
    <x v="8"/>
    <x v="1"/>
    <x v="17"/>
    <n v="0"/>
  </r>
  <r>
    <s v="Paneer Roll"/>
    <x v="4"/>
    <x v="23"/>
    <n v="50"/>
    <n v="70"/>
    <n v="3"/>
    <n v="3"/>
    <n v="0"/>
    <x v="8"/>
    <x v="1"/>
    <x v="17"/>
    <n v="0"/>
  </r>
  <r>
    <s v="Aloo Patiz"/>
    <x v="4"/>
    <x v="24"/>
    <n v="10"/>
    <n v="15"/>
    <n v="10"/>
    <n v="0"/>
    <n v="10"/>
    <x v="8"/>
    <x v="1"/>
    <x v="22"/>
    <n v="50"/>
  </r>
  <r>
    <s v="Paneer Patiz"/>
    <x v="4"/>
    <x v="25"/>
    <n v="20"/>
    <n v="25"/>
    <n v="10"/>
    <n v="0"/>
    <n v="10"/>
    <x v="8"/>
    <x v="1"/>
    <x v="26"/>
    <n v="50"/>
  </r>
  <r>
    <s v="Pao"/>
    <x v="5"/>
    <x v="26"/>
    <n v="25"/>
    <n v="30"/>
    <n v="16"/>
    <n v="13"/>
    <n v="3"/>
    <x v="8"/>
    <x v="1"/>
    <x v="38"/>
    <n v="15"/>
  </r>
  <r>
    <s v="Burger Buns"/>
    <x v="5"/>
    <x v="27"/>
    <n v="25"/>
    <n v="30"/>
    <n v="10"/>
    <n v="9"/>
    <n v="1"/>
    <x v="8"/>
    <x v="1"/>
    <x v="32"/>
    <n v="5"/>
  </r>
  <r>
    <s v="Pizza Base"/>
    <x v="5"/>
    <x v="28"/>
    <n v="25"/>
    <n v="30"/>
    <n v="10"/>
    <n v="5"/>
    <n v="5"/>
    <x v="8"/>
    <x v="1"/>
    <x v="22"/>
    <n v="25"/>
  </r>
  <r>
    <s v="Brown Bread"/>
    <x v="5"/>
    <x v="29"/>
    <n v="30"/>
    <n v="35"/>
    <n v="5"/>
    <n v="0"/>
    <n v="5"/>
    <x v="8"/>
    <x v="1"/>
    <x v="64"/>
    <n v="25"/>
  </r>
  <r>
    <s v="Pineapple"/>
    <x v="0"/>
    <x v="0"/>
    <n v="100"/>
    <n v="200"/>
    <n v="6"/>
    <n v="4"/>
    <n v="2"/>
    <x v="9"/>
    <x v="3"/>
    <x v="0"/>
    <n v="200"/>
  </r>
  <r>
    <s v="Chocolate Truffle"/>
    <x v="0"/>
    <x v="1"/>
    <n v="200"/>
    <n v="300"/>
    <n v="2"/>
    <n v="1"/>
    <n v="1"/>
    <x v="9"/>
    <x v="3"/>
    <x v="62"/>
    <n v="100"/>
  </r>
  <r>
    <s v="Black Forest"/>
    <x v="0"/>
    <x v="2"/>
    <n v="150"/>
    <n v="250"/>
    <n v="2"/>
    <n v="1"/>
    <n v="1"/>
    <x v="9"/>
    <x v="3"/>
    <x v="26"/>
    <n v="100"/>
  </r>
  <r>
    <s v="Butter Scotch"/>
    <x v="0"/>
    <x v="3"/>
    <n v="100"/>
    <n v="200"/>
    <n v="2"/>
    <n v="0"/>
    <n v="2"/>
    <x v="9"/>
    <x v="3"/>
    <x v="0"/>
    <n v="200"/>
  </r>
  <r>
    <s v="Pineapple"/>
    <x v="1"/>
    <x v="4"/>
    <n v="250"/>
    <n v="350"/>
    <n v="2"/>
    <n v="2"/>
    <n v="0"/>
    <x v="9"/>
    <x v="3"/>
    <x v="17"/>
    <n v="0"/>
  </r>
  <r>
    <s v="Chocolate Truffle"/>
    <x v="1"/>
    <x v="5"/>
    <n v="300"/>
    <n v="400"/>
    <n v="1"/>
    <n v="1"/>
    <n v="0"/>
    <x v="9"/>
    <x v="3"/>
    <x v="17"/>
    <n v="0"/>
  </r>
  <r>
    <s v="Black Forest"/>
    <x v="1"/>
    <x v="6"/>
    <n v="250"/>
    <n v="350"/>
    <n v="2"/>
    <n v="1"/>
    <n v="1"/>
    <x v="9"/>
    <x v="3"/>
    <x v="7"/>
    <n v="100"/>
  </r>
  <r>
    <s v="Butter Scotch"/>
    <x v="1"/>
    <x v="7"/>
    <n v="250"/>
    <n v="350"/>
    <n v="1"/>
    <n v="1"/>
    <n v="0"/>
    <x v="9"/>
    <x v="3"/>
    <x v="17"/>
    <n v="0"/>
  </r>
  <r>
    <s v="Chocochip"/>
    <x v="1"/>
    <x v="8"/>
    <n v="300"/>
    <n v="450"/>
    <n v="1"/>
    <n v="1"/>
    <n v="0"/>
    <x v="9"/>
    <x v="3"/>
    <x v="17"/>
    <n v="0"/>
  </r>
  <r>
    <s v="Fruit Cake(400gram)"/>
    <x v="2"/>
    <x v="9"/>
    <n v="320"/>
    <n v="400"/>
    <n v="0"/>
    <n v="0"/>
    <n v="0"/>
    <x v="9"/>
    <x v="3"/>
    <x v="17"/>
    <n v="0"/>
  </r>
  <r>
    <s v="Fruit Cake(200gram)"/>
    <x v="2"/>
    <x v="10"/>
    <n v="100"/>
    <n v="150"/>
    <n v="0"/>
    <n v="0"/>
    <n v="0"/>
    <x v="9"/>
    <x v="3"/>
    <x v="17"/>
    <n v="0"/>
  </r>
  <r>
    <s v="Pineapple"/>
    <x v="3"/>
    <x v="11"/>
    <n v="25"/>
    <n v="40"/>
    <n v="10"/>
    <n v="3"/>
    <n v="7"/>
    <x v="9"/>
    <x v="3"/>
    <x v="29"/>
    <n v="105"/>
  </r>
  <r>
    <s v="Chocolate Truffle"/>
    <x v="3"/>
    <x v="12"/>
    <n v="30"/>
    <n v="50"/>
    <n v="0"/>
    <n v="0"/>
    <n v="0"/>
    <x v="9"/>
    <x v="3"/>
    <x v="17"/>
    <n v="0"/>
  </r>
  <r>
    <s v="Butter Scotch"/>
    <x v="3"/>
    <x v="13"/>
    <n v="25"/>
    <n v="40"/>
    <n v="16"/>
    <n v="15"/>
    <n v="1"/>
    <x v="9"/>
    <x v="3"/>
    <x v="35"/>
    <n v="15"/>
  </r>
  <r>
    <s v="Black Forest"/>
    <x v="3"/>
    <x v="14"/>
    <n v="25"/>
    <n v="40"/>
    <n v="11"/>
    <n v="5"/>
    <n v="6"/>
    <x v="9"/>
    <x v="3"/>
    <x v="47"/>
    <n v="90"/>
  </r>
  <r>
    <s v="Chocochip"/>
    <x v="3"/>
    <x v="15"/>
    <n v="30"/>
    <n v="55"/>
    <n v="0"/>
    <n v="0"/>
    <n v="0"/>
    <x v="9"/>
    <x v="3"/>
    <x v="17"/>
    <n v="0"/>
  </r>
  <r>
    <s v="Bonfire"/>
    <x v="3"/>
    <x v="16"/>
    <n v="40"/>
    <n v="65"/>
    <n v="22"/>
    <n v="19"/>
    <n v="3"/>
    <x v="9"/>
    <x v="3"/>
    <x v="65"/>
    <n v="75"/>
  </r>
  <r>
    <s v="Choco Lava"/>
    <x v="3"/>
    <x v="17"/>
    <n v="50"/>
    <n v="70"/>
    <n v="0"/>
    <n v="0"/>
    <n v="0"/>
    <x v="9"/>
    <x v="3"/>
    <x v="17"/>
    <n v="0"/>
  </r>
  <r>
    <s v="Cupcakes"/>
    <x v="3"/>
    <x v="18"/>
    <n v="20"/>
    <n v="30"/>
    <n v="0"/>
    <n v="0"/>
    <n v="0"/>
    <x v="9"/>
    <x v="3"/>
    <x v="17"/>
    <n v="0"/>
  </r>
  <r>
    <s v="Muffins"/>
    <x v="3"/>
    <x v="19"/>
    <n v="10"/>
    <n v="20"/>
    <n v="0"/>
    <n v="0"/>
    <n v="0"/>
    <x v="9"/>
    <x v="3"/>
    <x v="17"/>
    <n v="0"/>
  </r>
  <r>
    <s v="Jar Cakes"/>
    <x v="3"/>
    <x v="20"/>
    <n v="60"/>
    <n v="100"/>
    <n v="6"/>
    <n v="4"/>
    <n v="2"/>
    <x v="9"/>
    <x v="3"/>
    <x v="19"/>
    <n v="80"/>
  </r>
  <r>
    <s v="Paneer Sandwich"/>
    <x v="4"/>
    <x v="21"/>
    <n v="50"/>
    <n v="70"/>
    <n v="4"/>
    <n v="0"/>
    <n v="4"/>
    <x v="9"/>
    <x v="3"/>
    <x v="29"/>
    <n v="80"/>
  </r>
  <r>
    <s v="Hotdog"/>
    <x v="4"/>
    <x v="22"/>
    <n v="45"/>
    <n v="65"/>
    <n v="4"/>
    <n v="4"/>
    <n v="0"/>
    <x v="9"/>
    <x v="3"/>
    <x v="17"/>
    <n v="0"/>
  </r>
  <r>
    <s v="Paneer Roll"/>
    <x v="4"/>
    <x v="23"/>
    <n v="50"/>
    <n v="70"/>
    <n v="3"/>
    <n v="0"/>
    <n v="3"/>
    <x v="9"/>
    <x v="3"/>
    <x v="24"/>
    <n v="60"/>
  </r>
  <r>
    <s v="Aloo Patiz"/>
    <x v="4"/>
    <x v="24"/>
    <n v="10"/>
    <n v="15"/>
    <n v="0"/>
    <n v="0"/>
    <n v="0"/>
    <x v="9"/>
    <x v="3"/>
    <x v="17"/>
    <n v="0"/>
  </r>
  <r>
    <s v="Paneer Patiz"/>
    <x v="4"/>
    <x v="25"/>
    <n v="20"/>
    <n v="25"/>
    <n v="0"/>
    <n v="0"/>
    <n v="0"/>
    <x v="9"/>
    <x v="3"/>
    <x v="17"/>
    <n v="0"/>
  </r>
  <r>
    <s v="Pao"/>
    <x v="5"/>
    <x v="26"/>
    <n v="25"/>
    <n v="30"/>
    <n v="13"/>
    <n v="9"/>
    <n v="4"/>
    <x v="9"/>
    <x v="3"/>
    <x v="28"/>
    <n v="20"/>
  </r>
  <r>
    <s v="Burger Buns"/>
    <x v="5"/>
    <x v="27"/>
    <n v="25"/>
    <n v="30"/>
    <n v="9"/>
    <n v="6"/>
    <n v="3"/>
    <x v="9"/>
    <x v="3"/>
    <x v="38"/>
    <n v="15"/>
  </r>
  <r>
    <s v="Pizza Base"/>
    <x v="5"/>
    <x v="28"/>
    <n v="25"/>
    <n v="30"/>
    <n v="5"/>
    <n v="5"/>
    <n v="0"/>
    <x v="9"/>
    <x v="3"/>
    <x v="17"/>
    <n v="0"/>
  </r>
  <r>
    <s v="Brown Bread"/>
    <x v="5"/>
    <x v="29"/>
    <n v="30"/>
    <n v="35"/>
    <n v="0"/>
    <n v="0"/>
    <n v="0"/>
    <x v="9"/>
    <x v="3"/>
    <x v="17"/>
    <n v="0"/>
  </r>
  <r>
    <s v="Pineapple"/>
    <x v="0"/>
    <x v="0"/>
    <n v="100"/>
    <n v="200"/>
    <n v="6"/>
    <n v="2"/>
    <n v="4"/>
    <x v="10"/>
    <x v="4"/>
    <x v="53"/>
    <n v="400"/>
  </r>
  <r>
    <s v="Chocolate Truffle"/>
    <x v="0"/>
    <x v="1"/>
    <n v="200"/>
    <n v="300"/>
    <n v="3"/>
    <n v="2"/>
    <n v="1"/>
    <x v="10"/>
    <x v="4"/>
    <x v="62"/>
    <n v="100"/>
  </r>
  <r>
    <s v="Black Forest"/>
    <x v="0"/>
    <x v="2"/>
    <n v="150"/>
    <n v="250"/>
    <n v="3"/>
    <n v="2"/>
    <n v="1"/>
    <x v="10"/>
    <x v="4"/>
    <x v="26"/>
    <n v="100"/>
  </r>
  <r>
    <s v="Butter Scotch"/>
    <x v="0"/>
    <x v="3"/>
    <n v="100"/>
    <n v="200"/>
    <n v="2"/>
    <n v="2"/>
    <n v="0"/>
    <x v="10"/>
    <x v="4"/>
    <x v="17"/>
    <n v="0"/>
  </r>
  <r>
    <s v="Pineapple"/>
    <x v="1"/>
    <x v="4"/>
    <n v="250"/>
    <n v="350"/>
    <n v="3"/>
    <n v="2"/>
    <n v="1"/>
    <x v="10"/>
    <x v="4"/>
    <x v="7"/>
    <n v="100"/>
  </r>
  <r>
    <s v="Chocolate Truffle"/>
    <x v="1"/>
    <x v="5"/>
    <n v="300"/>
    <n v="400"/>
    <n v="1"/>
    <n v="0"/>
    <n v="1"/>
    <x v="10"/>
    <x v="4"/>
    <x v="0"/>
    <n v="100"/>
  </r>
  <r>
    <s v="Black Forest"/>
    <x v="1"/>
    <x v="6"/>
    <n v="250"/>
    <n v="350"/>
    <n v="3"/>
    <n v="2"/>
    <n v="1"/>
    <x v="10"/>
    <x v="4"/>
    <x v="7"/>
    <n v="100"/>
  </r>
  <r>
    <s v="Butter Scotch"/>
    <x v="1"/>
    <x v="7"/>
    <n v="250"/>
    <n v="350"/>
    <n v="1"/>
    <n v="1"/>
    <n v="0"/>
    <x v="10"/>
    <x v="4"/>
    <x v="17"/>
    <n v="0"/>
  </r>
  <r>
    <s v="Chocochip"/>
    <x v="1"/>
    <x v="8"/>
    <n v="300"/>
    <n v="450"/>
    <n v="2"/>
    <n v="1"/>
    <n v="1"/>
    <x v="10"/>
    <x v="4"/>
    <x v="8"/>
    <n v="150"/>
  </r>
  <r>
    <s v="Fruit Cake(400gram)"/>
    <x v="2"/>
    <x v="9"/>
    <n v="320"/>
    <n v="400"/>
    <n v="0"/>
    <n v="0"/>
    <n v="0"/>
    <x v="10"/>
    <x v="4"/>
    <x v="17"/>
    <n v="0"/>
  </r>
  <r>
    <s v="Fruit Cake(200gram)"/>
    <x v="2"/>
    <x v="10"/>
    <n v="100"/>
    <n v="150"/>
    <n v="6"/>
    <n v="5"/>
    <n v="1"/>
    <x v="10"/>
    <x v="4"/>
    <x v="22"/>
    <n v="50"/>
  </r>
  <r>
    <s v="Pineapple"/>
    <x v="3"/>
    <x v="11"/>
    <n v="25"/>
    <n v="40"/>
    <n v="19"/>
    <n v="1"/>
    <n v="18"/>
    <x v="10"/>
    <x v="4"/>
    <x v="66"/>
    <n v="270"/>
  </r>
  <r>
    <s v="Chocolate Truffle"/>
    <x v="3"/>
    <x v="12"/>
    <n v="30"/>
    <n v="50"/>
    <n v="8"/>
    <n v="8"/>
    <n v="0"/>
    <x v="10"/>
    <x v="4"/>
    <x v="17"/>
    <n v="0"/>
  </r>
  <r>
    <s v="Butter Scotch"/>
    <x v="3"/>
    <x v="13"/>
    <n v="25"/>
    <n v="40"/>
    <n v="15"/>
    <n v="12"/>
    <n v="3"/>
    <x v="10"/>
    <x v="4"/>
    <x v="28"/>
    <n v="45"/>
  </r>
  <r>
    <s v="Black Forest"/>
    <x v="3"/>
    <x v="14"/>
    <n v="25"/>
    <n v="40"/>
    <n v="20"/>
    <n v="11"/>
    <n v="9"/>
    <x v="10"/>
    <x v="4"/>
    <x v="23"/>
    <n v="135"/>
  </r>
  <r>
    <s v="Chocochip"/>
    <x v="3"/>
    <x v="15"/>
    <n v="30"/>
    <n v="55"/>
    <n v="8"/>
    <n v="8"/>
    <n v="0"/>
    <x v="10"/>
    <x v="4"/>
    <x v="17"/>
    <n v="0"/>
  </r>
  <r>
    <s v="Bonfire"/>
    <x v="3"/>
    <x v="16"/>
    <n v="40"/>
    <n v="65"/>
    <n v="19"/>
    <n v="8"/>
    <n v="11"/>
    <x v="10"/>
    <x v="4"/>
    <x v="67"/>
    <n v="275"/>
  </r>
  <r>
    <s v="Choco Lava"/>
    <x v="3"/>
    <x v="17"/>
    <n v="50"/>
    <n v="70"/>
    <n v="0"/>
    <n v="0"/>
    <n v="0"/>
    <x v="10"/>
    <x v="4"/>
    <x v="17"/>
    <n v="0"/>
  </r>
  <r>
    <s v="Cupcakes"/>
    <x v="3"/>
    <x v="18"/>
    <n v="20"/>
    <n v="30"/>
    <n v="22"/>
    <n v="20"/>
    <n v="2"/>
    <x v="10"/>
    <x v="4"/>
    <x v="42"/>
    <n v="20"/>
  </r>
  <r>
    <s v="Muffins"/>
    <x v="3"/>
    <x v="19"/>
    <n v="10"/>
    <n v="20"/>
    <n v="11"/>
    <n v="11"/>
    <n v="0"/>
    <x v="10"/>
    <x v="4"/>
    <x v="17"/>
    <n v="0"/>
  </r>
  <r>
    <s v="Jar Cakes"/>
    <x v="3"/>
    <x v="20"/>
    <n v="60"/>
    <n v="100"/>
    <n v="4"/>
    <n v="4"/>
    <n v="0"/>
    <x v="10"/>
    <x v="4"/>
    <x v="17"/>
    <n v="0"/>
  </r>
  <r>
    <s v="Paneer Sandwich"/>
    <x v="4"/>
    <x v="21"/>
    <n v="50"/>
    <n v="70"/>
    <n v="4"/>
    <n v="0"/>
    <n v="4"/>
    <x v="10"/>
    <x v="4"/>
    <x v="29"/>
    <n v="80"/>
  </r>
  <r>
    <s v="Hotdog"/>
    <x v="4"/>
    <x v="22"/>
    <n v="45"/>
    <n v="65"/>
    <n v="4"/>
    <n v="4"/>
    <n v="0"/>
    <x v="10"/>
    <x v="4"/>
    <x v="17"/>
    <n v="0"/>
  </r>
  <r>
    <s v="Paneer Roll"/>
    <x v="4"/>
    <x v="23"/>
    <n v="50"/>
    <n v="70"/>
    <n v="0"/>
    <n v="0"/>
    <n v="0"/>
    <x v="10"/>
    <x v="4"/>
    <x v="17"/>
    <n v="0"/>
  </r>
  <r>
    <s v="Aloo Patiz"/>
    <x v="4"/>
    <x v="24"/>
    <n v="10"/>
    <n v="15"/>
    <n v="10"/>
    <n v="5"/>
    <n v="5"/>
    <x v="10"/>
    <x v="4"/>
    <x v="49"/>
    <n v="25"/>
  </r>
  <r>
    <s v="Paneer Patiz"/>
    <x v="4"/>
    <x v="25"/>
    <n v="20"/>
    <n v="25"/>
    <n v="5"/>
    <n v="2"/>
    <n v="3"/>
    <x v="10"/>
    <x v="4"/>
    <x v="49"/>
    <n v="15"/>
  </r>
  <r>
    <s v="Pao"/>
    <x v="5"/>
    <x v="26"/>
    <n v="25"/>
    <n v="30"/>
    <n v="9"/>
    <n v="6"/>
    <n v="3"/>
    <x v="10"/>
    <x v="4"/>
    <x v="38"/>
    <n v="15"/>
  </r>
  <r>
    <s v="Burger Buns"/>
    <x v="5"/>
    <x v="27"/>
    <n v="25"/>
    <n v="30"/>
    <n v="6"/>
    <n v="4"/>
    <n v="2"/>
    <x v="10"/>
    <x v="4"/>
    <x v="42"/>
    <n v="10"/>
  </r>
  <r>
    <s v="Pizza Base"/>
    <x v="5"/>
    <x v="28"/>
    <n v="25"/>
    <n v="30"/>
    <n v="5"/>
    <n v="5"/>
    <n v="0"/>
    <x v="10"/>
    <x v="4"/>
    <x v="17"/>
    <n v="0"/>
  </r>
  <r>
    <s v="Brown Bread"/>
    <x v="5"/>
    <x v="29"/>
    <n v="30"/>
    <n v="35"/>
    <n v="10"/>
    <n v="8"/>
    <n v="2"/>
    <x v="10"/>
    <x v="4"/>
    <x v="20"/>
    <n v="10"/>
  </r>
  <r>
    <s v="Pineapple"/>
    <x v="0"/>
    <x v="0"/>
    <n v="100"/>
    <n v="200"/>
    <n v="2"/>
    <n v="0"/>
    <n v="2"/>
    <x v="11"/>
    <x v="5"/>
    <x v="0"/>
    <n v="200"/>
  </r>
  <r>
    <s v="Chocolate Truffle"/>
    <x v="0"/>
    <x v="1"/>
    <n v="200"/>
    <n v="300"/>
    <n v="2"/>
    <n v="0"/>
    <n v="2"/>
    <x v="11"/>
    <x v="5"/>
    <x v="3"/>
    <n v="200"/>
  </r>
  <r>
    <s v="Black Forest"/>
    <x v="0"/>
    <x v="2"/>
    <n v="150"/>
    <n v="250"/>
    <n v="2"/>
    <n v="0"/>
    <n v="2"/>
    <x v="11"/>
    <x v="5"/>
    <x v="12"/>
    <n v="200"/>
  </r>
  <r>
    <s v="Butter Scotch"/>
    <x v="0"/>
    <x v="3"/>
    <n v="100"/>
    <n v="200"/>
    <n v="2"/>
    <n v="0"/>
    <n v="2"/>
    <x v="11"/>
    <x v="5"/>
    <x v="0"/>
    <n v="200"/>
  </r>
  <r>
    <s v="Pineapple"/>
    <x v="1"/>
    <x v="4"/>
    <n v="250"/>
    <n v="350"/>
    <n v="2"/>
    <n v="2"/>
    <n v="0"/>
    <x v="11"/>
    <x v="5"/>
    <x v="17"/>
    <n v="0"/>
  </r>
  <r>
    <s v="Chocolate Truffle"/>
    <x v="1"/>
    <x v="5"/>
    <n v="300"/>
    <n v="400"/>
    <n v="0"/>
    <n v="0"/>
    <n v="0"/>
    <x v="11"/>
    <x v="5"/>
    <x v="17"/>
    <n v="0"/>
  </r>
  <r>
    <s v="Black Forest"/>
    <x v="1"/>
    <x v="6"/>
    <n v="250"/>
    <n v="350"/>
    <n v="2"/>
    <n v="1"/>
    <n v="1"/>
    <x v="11"/>
    <x v="5"/>
    <x v="7"/>
    <n v="100"/>
  </r>
  <r>
    <s v="Butter Scotch"/>
    <x v="1"/>
    <x v="7"/>
    <n v="250"/>
    <n v="350"/>
    <n v="1"/>
    <n v="1"/>
    <n v="0"/>
    <x v="11"/>
    <x v="5"/>
    <x v="17"/>
    <n v="0"/>
  </r>
  <r>
    <s v="Chocochip"/>
    <x v="1"/>
    <x v="8"/>
    <n v="300"/>
    <n v="450"/>
    <n v="1"/>
    <n v="1"/>
    <n v="0"/>
    <x v="11"/>
    <x v="5"/>
    <x v="17"/>
    <n v="0"/>
  </r>
  <r>
    <s v="Fruit Cake(400gram)"/>
    <x v="2"/>
    <x v="9"/>
    <n v="320"/>
    <n v="400"/>
    <n v="0"/>
    <n v="0"/>
    <n v="0"/>
    <x v="11"/>
    <x v="5"/>
    <x v="17"/>
    <n v="0"/>
  </r>
  <r>
    <s v="Fruit Cake(200gram)"/>
    <x v="2"/>
    <x v="10"/>
    <n v="100"/>
    <n v="150"/>
    <n v="5"/>
    <n v="5"/>
    <n v="0"/>
    <x v="11"/>
    <x v="5"/>
    <x v="17"/>
    <n v="0"/>
  </r>
  <r>
    <s v="Pineapple"/>
    <x v="3"/>
    <x v="11"/>
    <n v="25"/>
    <n v="40"/>
    <n v="9"/>
    <n v="9"/>
    <n v="0"/>
    <x v="11"/>
    <x v="5"/>
    <x v="17"/>
    <n v="0"/>
  </r>
  <r>
    <s v="Chocolate Truffle"/>
    <x v="3"/>
    <x v="12"/>
    <n v="30"/>
    <n v="50"/>
    <n v="16"/>
    <n v="8"/>
    <n v="8"/>
    <x v="11"/>
    <x v="5"/>
    <x v="0"/>
    <n v="160"/>
  </r>
  <r>
    <s v="Butter Scotch"/>
    <x v="3"/>
    <x v="13"/>
    <n v="25"/>
    <n v="40"/>
    <n v="12"/>
    <n v="8"/>
    <n v="4"/>
    <x v="11"/>
    <x v="5"/>
    <x v="63"/>
    <n v="60"/>
  </r>
  <r>
    <s v="Black Forest"/>
    <x v="3"/>
    <x v="14"/>
    <n v="25"/>
    <n v="40"/>
    <n v="27"/>
    <n v="13"/>
    <n v="14"/>
    <x v="11"/>
    <x v="5"/>
    <x v="68"/>
    <n v="210"/>
  </r>
  <r>
    <s v="Chocochip"/>
    <x v="3"/>
    <x v="15"/>
    <n v="30"/>
    <n v="55"/>
    <n v="16"/>
    <n v="8"/>
    <n v="8"/>
    <x v="11"/>
    <x v="5"/>
    <x v="69"/>
    <n v="200"/>
  </r>
  <r>
    <s v="Bonfire"/>
    <x v="3"/>
    <x v="16"/>
    <n v="40"/>
    <n v="65"/>
    <n v="8"/>
    <n v="8"/>
    <n v="0"/>
    <x v="11"/>
    <x v="5"/>
    <x v="17"/>
    <n v="0"/>
  </r>
  <r>
    <s v="Choco Lava"/>
    <x v="3"/>
    <x v="17"/>
    <n v="50"/>
    <n v="70"/>
    <n v="0"/>
    <n v="0"/>
    <n v="0"/>
    <x v="11"/>
    <x v="5"/>
    <x v="17"/>
    <n v="0"/>
  </r>
  <r>
    <s v="Cupcakes"/>
    <x v="3"/>
    <x v="18"/>
    <n v="20"/>
    <n v="30"/>
    <n v="20"/>
    <n v="15"/>
    <n v="5"/>
    <x v="11"/>
    <x v="5"/>
    <x v="22"/>
    <n v="50"/>
  </r>
  <r>
    <s v="Muffins"/>
    <x v="3"/>
    <x v="19"/>
    <n v="10"/>
    <n v="20"/>
    <n v="11"/>
    <n v="11"/>
    <n v="0"/>
    <x v="11"/>
    <x v="5"/>
    <x v="17"/>
    <n v="0"/>
  </r>
  <r>
    <s v="Jar Cakes"/>
    <x v="3"/>
    <x v="20"/>
    <n v="60"/>
    <n v="100"/>
    <n v="4"/>
    <n v="1"/>
    <n v="3"/>
    <x v="11"/>
    <x v="5"/>
    <x v="62"/>
    <n v="120"/>
  </r>
  <r>
    <s v="Paneer Sandwich"/>
    <x v="4"/>
    <x v="21"/>
    <n v="50"/>
    <n v="70"/>
    <n v="4"/>
    <n v="2"/>
    <n v="2"/>
    <x v="11"/>
    <x v="5"/>
    <x v="25"/>
    <n v="40"/>
  </r>
  <r>
    <s v="Hotdog"/>
    <x v="4"/>
    <x v="22"/>
    <n v="45"/>
    <n v="65"/>
    <n v="4"/>
    <n v="2"/>
    <n v="2"/>
    <x v="11"/>
    <x v="5"/>
    <x v="37"/>
    <n v="40"/>
  </r>
  <r>
    <s v="Paneer Roll"/>
    <x v="4"/>
    <x v="23"/>
    <n v="50"/>
    <n v="70"/>
    <n v="0"/>
    <n v="0"/>
    <n v="0"/>
    <x v="11"/>
    <x v="5"/>
    <x v="17"/>
    <n v="0"/>
  </r>
  <r>
    <s v="Aloo Patiz"/>
    <x v="4"/>
    <x v="24"/>
    <n v="10"/>
    <n v="15"/>
    <n v="10"/>
    <n v="8"/>
    <n v="2"/>
    <x v="11"/>
    <x v="5"/>
    <x v="32"/>
    <n v="10"/>
  </r>
  <r>
    <s v="Paneer Patiz"/>
    <x v="4"/>
    <x v="25"/>
    <n v="20"/>
    <n v="25"/>
    <n v="7"/>
    <n v="5"/>
    <n v="2"/>
    <x v="11"/>
    <x v="5"/>
    <x v="41"/>
    <n v="10"/>
  </r>
  <r>
    <s v="Pao"/>
    <x v="5"/>
    <x v="26"/>
    <n v="25"/>
    <n v="30"/>
    <n v="6"/>
    <n v="0"/>
    <n v="6"/>
    <x v="11"/>
    <x v="5"/>
    <x v="34"/>
    <n v="30"/>
  </r>
  <r>
    <s v="Burger Buns"/>
    <x v="5"/>
    <x v="27"/>
    <n v="25"/>
    <n v="30"/>
    <n v="4"/>
    <n v="4"/>
    <n v="0"/>
    <x v="11"/>
    <x v="5"/>
    <x v="17"/>
    <n v="0"/>
  </r>
  <r>
    <s v="Pizza Base"/>
    <x v="5"/>
    <x v="28"/>
    <n v="25"/>
    <n v="30"/>
    <n v="5"/>
    <n v="2"/>
    <n v="3"/>
    <x v="11"/>
    <x v="5"/>
    <x v="38"/>
    <n v="15"/>
  </r>
  <r>
    <s v="Brown Bread"/>
    <x v="5"/>
    <x v="29"/>
    <n v="30"/>
    <n v="35"/>
    <n v="8"/>
    <n v="2"/>
    <n v="6"/>
    <x v="11"/>
    <x v="5"/>
    <x v="24"/>
    <n v="30"/>
  </r>
  <r>
    <s v="Pineapple"/>
    <x v="0"/>
    <x v="0"/>
    <n v="100"/>
    <n v="200"/>
    <n v="3"/>
    <n v="2"/>
    <n v="1"/>
    <x v="12"/>
    <x v="6"/>
    <x v="19"/>
    <n v="100"/>
  </r>
  <r>
    <s v="Chocolate Truffle"/>
    <x v="0"/>
    <x v="1"/>
    <n v="200"/>
    <n v="300"/>
    <n v="2"/>
    <n v="1"/>
    <n v="1"/>
    <x v="12"/>
    <x v="6"/>
    <x v="62"/>
    <n v="100"/>
  </r>
  <r>
    <s v="Black Forest"/>
    <x v="0"/>
    <x v="2"/>
    <n v="150"/>
    <n v="250"/>
    <n v="2"/>
    <n v="1"/>
    <n v="1"/>
    <x v="12"/>
    <x v="6"/>
    <x v="26"/>
    <n v="100"/>
  </r>
  <r>
    <s v="Butter Scotch"/>
    <x v="0"/>
    <x v="3"/>
    <n v="100"/>
    <n v="200"/>
    <n v="3"/>
    <n v="2"/>
    <n v="1"/>
    <x v="12"/>
    <x v="6"/>
    <x v="19"/>
    <n v="100"/>
  </r>
  <r>
    <s v="Pineapple"/>
    <x v="1"/>
    <x v="4"/>
    <n v="250"/>
    <n v="350"/>
    <n v="2"/>
    <n v="1"/>
    <n v="1"/>
    <x v="12"/>
    <x v="6"/>
    <x v="7"/>
    <n v="100"/>
  </r>
  <r>
    <s v="Chocolate Truffle"/>
    <x v="1"/>
    <x v="5"/>
    <n v="300"/>
    <n v="400"/>
    <n v="0"/>
    <n v="0"/>
    <n v="0"/>
    <x v="12"/>
    <x v="6"/>
    <x v="17"/>
    <n v="0"/>
  </r>
  <r>
    <s v="Black Forest"/>
    <x v="1"/>
    <x v="6"/>
    <n v="250"/>
    <n v="350"/>
    <n v="1"/>
    <n v="0"/>
    <n v="1"/>
    <x v="12"/>
    <x v="6"/>
    <x v="7"/>
    <n v="100"/>
  </r>
  <r>
    <s v="Butter Scotch"/>
    <x v="1"/>
    <x v="7"/>
    <n v="250"/>
    <n v="350"/>
    <n v="5"/>
    <n v="4"/>
    <n v="1"/>
    <x v="12"/>
    <x v="6"/>
    <x v="7"/>
    <n v="100"/>
  </r>
  <r>
    <s v="Chocochip"/>
    <x v="1"/>
    <x v="8"/>
    <n v="300"/>
    <n v="450"/>
    <n v="2"/>
    <n v="0"/>
    <n v="2"/>
    <x v="12"/>
    <x v="6"/>
    <x v="1"/>
    <n v="300"/>
  </r>
  <r>
    <s v="Fruit Cake(400gram)"/>
    <x v="2"/>
    <x v="9"/>
    <n v="320"/>
    <n v="400"/>
    <n v="0"/>
    <n v="0"/>
    <n v="0"/>
    <x v="12"/>
    <x v="6"/>
    <x v="17"/>
    <n v="0"/>
  </r>
  <r>
    <s v="Fruit Cake(200gram)"/>
    <x v="2"/>
    <x v="10"/>
    <n v="100"/>
    <n v="150"/>
    <n v="5"/>
    <n v="5"/>
    <n v="0"/>
    <x v="12"/>
    <x v="6"/>
    <x v="17"/>
    <n v="0"/>
  </r>
  <r>
    <s v="Pineapple"/>
    <x v="3"/>
    <x v="11"/>
    <n v="25"/>
    <n v="40"/>
    <n v="9"/>
    <n v="7"/>
    <n v="2"/>
    <x v="12"/>
    <x v="6"/>
    <x v="44"/>
    <n v="30"/>
  </r>
  <r>
    <s v="Chocolate Truffle"/>
    <x v="3"/>
    <x v="12"/>
    <n v="30"/>
    <n v="50"/>
    <n v="16"/>
    <n v="4"/>
    <n v="12"/>
    <x v="12"/>
    <x v="6"/>
    <x v="3"/>
    <n v="240"/>
  </r>
  <r>
    <s v="Butter Scotch"/>
    <x v="3"/>
    <x v="13"/>
    <n v="25"/>
    <n v="40"/>
    <n v="16"/>
    <n v="6"/>
    <n v="10"/>
    <x v="12"/>
    <x v="6"/>
    <x v="0"/>
    <n v="150"/>
  </r>
  <r>
    <s v="Black Forest"/>
    <x v="3"/>
    <x v="14"/>
    <n v="25"/>
    <n v="40"/>
    <n v="21"/>
    <n v="9"/>
    <n v="12"/>
    <x v="12"/>
    <x v="6"/>
    <x v="13"/>
    <n v="180"/>
  </r>
  <r>
    <s v="Chocochip"/>
    <x v="3"/>
    <x v="15"/>
    <n v="30"/>
    <n v="55"/>
    <n v="16"/>
    <n v="2"/>
    <n v="14"/>
    <x v="12"/>
    <x v="6"/>
    <x v="70"/>
    <n v="350"/>
  </r>
  <r>
    <s v="Bonfire"/>
    <x v="3"/>
    <x v="16"/>
    <n v="40"/>
    <n v="65"/>
    <n v="8"/>
    <n v="5"/>
    <n v="3"/>
    <x v="12"/>
    <x v="6"/>
    <x v="65"/>
    <n v="75"/>
  </r>
  <r>
    <s v="Choco Lava"/>
    <x v="3"/>
    <x v="17"/>
    <n v="50"/>
    <n v="70"/>
    <n v="0"/>
    <n v="0"/>
    <n v="0"/>
    <x v="12"/>
    <x v="6"/>
    <x v="17"/>
    <n v="0"/>
  </r>
  <r>
    <s v="Cupcakes"/>
    <x v="3"/>
    <x v="18"/>
    <n v="20"/>
    <n v="30"/>
    <n v="20"/>
    <n v="20"/>
    <n v="0"/>
    <x v="12"/>
    <x v="6"/>
    <x v="17"/>
    <n v="0"/>
  </r>
  <r>
    <s v="Muffins"/>
    <x v="3"/>
    <x v="19"/>
    <n v="10"/>
    <n v="20"/>
    <n v="11"/>
    <n v="11"/>
    <n v="0"/>
    <x v="12"/>
    <x v="6"/>
    <x v="17"/>
    <n v="0"/>
  </r>
  <r>
    <s v="Jar Cakes"/>
    <x v="3"/>
    <x v="20"/>
    <n v="60"/>
    <n v="100"/>
    <n v="6"/>
    <n v="6"/>
    <n v="0"/>
    <x v="12"/>
    <x v="6"/>
    <x v="17"/>
    <n v="0"/>
  </r>
  <r>
    <s v="Paneer Sandwich"/>
    <x v="4"/>
    <x v="21"/>
    <n v="50"/>
    <n v="70"/>
    <n v="6"/>
    <n v="5"/>
    <n v="1"/>
    <x v="12"/>
    <x v="6"/>
    <x v="20"/>
    <n v="20"/>
  </r>
  <r>
    <s v="Hotdog"/>
    <x v="4"/>
    <x v="22"/>
    <n v="45"/>
    <n v="65"/>
    <n v="2"/>
    <n v="1"/>
    <n v="1"/>
    <x v="12"/>
    <x v="6"/>
    <x v="71"/>
    <n v="20"/>
  </r>
  <r>
    <s v="Paneer Roll"/>
    <x v="4"/>
    <x v="23"/>
    <n v="50"/>
    <n v="70"/>
    <n v="0"/>
    <n v="0"/>
    <n v="0"/>
    <x v="12"/>
    <x v="6"/>
    <x v="17"/>
    <n v="0"/>
  </r>
  <r>
    <s v="Aloo Patiz"/>
    <x v="4"/>
    <x v="24"/>
    <n v="10"/>
    <n v="15"/>
    <n v="12"/>
    <n v="10"/>
    <n v="2"/>
    <x v="12"/>
    <x v="6"/>
    <x v="32"/>
    <n v="10"/>
  </r>
  <r>
    <s v="Paneer Patiz"/>
    <x v="4"/>
    <x v="25"/>
    <n v="20"/>
    <n v="25"/>
    <n v="5"/>
    <n v="4"/>
    <n v="1"/>
    <x v="12"/>
    <x v="6"/>
    <x v="39"/>
    <n v="5"/>
  </r>
  <r>
    <s v="Pao"/>
    <x v="5"/>
    <x v="26"/>
    <n v="25"/>
    <n v="30"/>
    <n v="0"/>
    <n v="0"/>
    <n v="0"/>
    <x v="12"/>
    <x v="6"/>
    <x v="17"/>
    <n v="0"/>
  </r>
  <r>
    <s v="Burger Buns"/>
    <x v="5"/>
    <x v="27"/>
    <n v="25"/>
    <n v="30"/>
    <n v="4"/>
    <n v="2"/>
    <n v="2"/>
    <x v="12"/>
    <x v="6"/>
    <x v="42"/>
    <n v="10"/>
  </r>
  <r>
    <s v="Pizza Base"/>
    <x v="5"/>
    <x v="28"/>
    <n v="25"/>
    <n v="30"/>
    <n v="2"/>
    <n v="2"/>
    <n v="0"/>
    <x v="12"/>
    <x v="6"/>
    <x v="17"/>
    <n v="0"/>
  </r>
  <r>
    <s v="Brown Bread"/>
    <x v="5"/>
    <x v="29"/>
    <n v="30"/>
    <n v="35"/>
    <n v="2"/>
    <n v="1"/>
    <n v="1"/>
    <x v="12"/>
    <x v="6"/>
    <x v="72"/>
    <n v="5"/>
  </r>
  <r>
    <s v="Pineapple"/>
    <x v="0"/>
    <x v="0"/>
    <n v="100"/>
    <n v="200"/>
    <n v="2"/>
    <n v="1"/>
    <n v="1"/>
    <x v="13"/>
    <x v="0"/>
    <x v="19"/>
    <n v="100"/>
  </r>
  <r>
    <s v="Chocolate Truffle"/>
    <x v="0"/>
    <x v="1"/>
    <n v="200"/>
    <n v="300"/>
    <n v="3"/>
    <n v="2"/>
    <n v="1"/>
    <x v="13"/>
    <x v="0"/>
    <x v="62"/>
    <n v="100"/>
  </r>
  <r>
    <s v="Black Forest"/>
    <x v="0"/>
    <x v="2"/>
    <n v="150"/>
    <n v="250"/>
    <n v="3"/>
    <n v="1"/>
    <n v="2"/>
    <x v="13"/>
    <x v="0"/>
    <x v="12"/>
    <n v="200"/>
  </r>
  <r>
    <s v="Butter Scotch"/>
    <x v="0"/>
    <x v="3"/>
    <n v="100"/>
    <n v="200"/>
    <n v="3"/>
    <n v="3"/>
    <n v="0"/>
    <x v="13"/>
    <x v="0"/>
    <x v="17"/>
    <n v="0"/>
  </r>
  <r>
    <s v="Pineapple"/>
    <x v="1"/>
    <x v="4"/>
    <n v="250"/>
    <n v="350"/>
    <n v="3"/>
    <n v="2"/>
    <n v="1"/>
    <x v="13"/>
    <x v="0"/>
    <x v="7"/>
    <n v="100"/>
  </r>
  <r>
    <s v="Chocolate Truffle"/>
    <x v="1"/>
    <x v="5"/>
    <n v="300"/>
    <n v="400"/>
    <n v="1"/>
    <n v="1"/>
    <n v="0"/>
    <x v="13"/>
    <x v="0"/>
    <x v="17"/>
    <n v="0"/>
  </r>
  <r>
    <s v="Black Forest"/>
    <x v="1"/>
    <x v="6"/>
    <n v="250"/>
    <n v="350"/>
    <n v="2"/>
    <n v="2"/>
    <n v="0"/>
    <x v="13"/>
    <x v="0"/>
    <x v="17"/>
    <n v="0"/>
  </r>
  <r>
    <s v="Butter Scotch"/>
    <x v="1"/>
    <x v="7"/>
    <n v="250"/>
    <n v="350"/>
    <n v="5"/>
    <n v="2"/>
    <n v="3"/>
    <x v="13"/>
    <x v="0"/>
    <x v="54"/>
    <n v="300"/>
  </r>
  <r>
    <s v="Chocochip"/>
    <x v="1"/>
    <x v="8"/>
    <n v="300"/>
    <n v="450"/>
    <n v="0"/>
    <n v="0"/>
    <n v="0"/>
    <x v="13"/>
    <x v="0"/>
    <x v="17"/>
    <n v="0"/>
  </r>
  <r>
    <s v="Fruit Cake(400gram)"/>
    <x v="2"/>
    <x v="9"/>
    <n v="320"/>
    <n v="400"/>
    <n v="0"/>
    <n v="0"/>
    <n v="0"/>
    <x v="13"/>
    <x v="0"/>
    <x v="17"/>
    <n v="0"/>
  </r>
  <r>
    <s v="Fruit Cake(200gram)"/>
    <x v="2"/>
    <x v="10"/>
    <n v="100"/>
    <n v="150"/>
    <n v="5"/>
    <n v="5"/>
    <n v="0"/>
    <x v="13"/>
    <x v="0"/>
    <x v="17"/>
    <n v="0"/>
  </r>
  <r>
    <s v="Pineapple"/>
    <x v="3"/>
    <x v="11"/>
    <n v="25"/>
    <n v="40"/>
    <n v="19"/>
    <n v="19"/>
    <n v="0"/>
    <x v="13"/>
    <x v="0"/>
    <x v="17"/>
    <n v="0"/>
  </r>
  <r>
    <s v="Chocolate Truffle"/>
    <x v="3"/>
    <x v="12"/>
    <n v="30"/>
    <n v="50"/>
    <n v="4"/>
    <n v="4"/>
    <n v="0"/>
    <x v="13"/>
    <x v="0"/>
    <x v="17"/>
    <n v="0"/>
  </r>
  <r>
    <s v="Butter Scotch"/>
    <x v="3"/>
    <x v="13"/>
    <n v="25"/>
    <n v="40"/>
    <n v="6"/>
    <n v="3"/>
    <n v="3"/>
    <x v="13"/>
    <x v="0"/>
    <x v="28"/>
    <n v="45"/>
  </r>
  <r>
    <s v="Black Forest"/>
    <x v="3"/>
    <x v="14"/>
    <n v="25"/>
    <n v="40"/>
    <n v="9"/>
    <n v="5"/>
    <n v="4"/>
    <x v="13"/>
    <x v="0"/>
    <x v="63"/>
    <n v="60"/>
  </r>
  <r>
    <s v="Chocochip"/>
    <x v="3"/>
    <x v="15"/>
    <n v="30"/>
    <n v="55"/>
    <n v="2"/>
    <n v="2"/>
    <n v="0"/>
    <x v="13"/>
    <x v="0"/>
    <x v="17"/>
    <n v="0"/>
  </r>
  <r>
    <s v="Bonfire"/>
    <x v="3"/>
    <x v="16"/>
    <n v="40"/>
    <n v="65"/>
    <n v="15"/>
    <n v="14"/>
    <n v="1"/>
    <x v="13"/>
    <x v="0"/>
    <x v="71"/>
    <n v="25"/>
  </r>
  <r>
    <s v="Choco Lava"/>
    <x v="3"/>
    <x v="17"/>
    <n v="50"/>
    <n v="70"/>
    <n v="0"/>
    <n v="0"/>
    <n v="0"/>
    <x v="13"/>
    <x v="0"/>
    <x v="17"/>
    <n v="0"/>
  </r>
  <r>
    <s v="Cupcakes"/>
    <x v="3"/>
    <x v="18"/>
    <n v="20"/>
    <n v="30"/>
    <n v="20"/>
    <n v="15"/>
    <n v="5"/>
    <x v="13"/>
    <x v="0"/>
    <x v="22"/>
    <n v="50"/>
  </r>
  <r>
    <s v="Muffins"/>
    <x v="3"/>
    <x v="19"/>
    <n v="10"/>
    <n v="20"/>
    <n v="11"/>
    <n v="8"/>
    <n v="3"/>
    <x v="13"/>
    <x v="0"/>
    <x v="42"/>
    <n v="30"/>
  </r>
  <r>
    <s v="Jar Cakes"/>
    <x v="3"/>
    <x v="20"/>
    <n v="60"/>
    <n v="100"/>
    <n v="6"/>
    <n v="6"/>
    <n v="0"/>
    <x v="13"/>
    <x v="0"/>
    <x v="17"/>
    <n v="0"/>
  </r>
  <r>
    <s v="Paneer Sandwich"/>
    <x v="4"/>
    <x v="21"/>
    <n v="50"/>
    <n v="70"/>
    <n v="5"/>
    <n v="4"/>
    <n v="1"/>
    <x v="13"/>
    <x v="0"/>
    <x v="20"/>
    <n v="20"/>
  </r>
  <r>
    <s v="Hotdog"/>
    <x v="4"/>
    <x v="22"/>
    <n v="45"/>
    <n v="65"/>
    <n v="1"/>
    <n v="1"/>
    <n v="0"/>
    <x v="13"/>
    <x v="0"/>
    <x v="17"/>
    <n v="0"/>
  </r>
  <r>
    <s v="Paneer Roll"/>
    <x v="4"/>
    <x v="23"/>
    <n v="50"/>
    <n v="70"/>
    <n v="0"/>
    <n v="0"/>
    <n v="0"/>
    <x v="13"/>
    <x v="0"/>
    <x v="17"/>
    <n v="0"/>
  </r>
  <r>
    <s v="Aloo Patiz"/>
    <x v="4"/>
    <x v="24"/>
    <n v="10"/>
    <n v="15"/>
    <n v="10"/>
    <n v="3"/>
    <n v="7"/>
    <x v="13"/>
    <x v="0"/>
    <x v="45"/>
    <n v="35"/>
  </r>
  <r>
    <s v="Paneer Patiz"/>
    <x v="4"/>
    <x v="25"/>
    <n v="20"/>
    <n v="25"/>
    <n v="4"/>
    <n v="0"/>
    <n v="4"/>
    <x v="13"/>
    <x v="0"/>
    <x v="33"/>
    <n v="20"/>
  </r>
  <r>
    <s v="Pao"/>
    <x v="5"/>
    <x v="26"/>
    <n v="25"/>
    <n v="30"/>
    <n v="10"/>
    <n v="3"/>
    <n v="7"/>
    <x v="13"/>
    <x v="0"/>
    <x v="24"/>
    <n v="35"/>
  </r>
  <r>
    <s v="Burger Buns"/>
    <x v="5"/>
    <x v="27"/>
    <n v="25"/>
    <n v="30"/>
    <n v="8"/>
    <n v="6"/>
    <n v="2"/>
    <x v="13"/>
    <x v="0"/>
    <x v="42"/>
    <n v="10"/>
  </r>
  <r>
    <s v="Pizza Base"/>
    <x v="5"/>
    <x v="28"/>
    <n v="25"/>
    <n v="30"/>
    <n v="10"/>
    <n v="2"/>
    <n v="8"/>
    <x v="13"/>
    <x v="0"/>
    <x v="47"/>
    <n v="40"/>
  </r>
  <r>
    <s v="Brown Bread"/>
    <x v="5"/>
    <x v="29"/>
    <n v="30"/>
    <n v="35"/>
    <n v="9"/>
    <n v="4"/>
    <n v="5"/>
    <x v="13"/>
    <x v="0"/>
    <x v="64"/>
    <n v="25"/>
  </r>
  <r>
    <s v="Pineapple"/>
    <x v="0"/>
    <x v="0"/>
    <n v="100"/>
    <n v="200"/>
    <n v="1"/>
    <n v="0"/>
    <n v="1"/>
    <x v="14"/>
    <x v="1"/>
    <x v="19"/>
    <n v="100"/>
  </r>
  <r>
    <s v="Chocolate Truffle"/>
    <x v="0"/>
    <x v="1"/>
    <n v="200"/>
    <n v="300"/>
    <n v="2"/>
    <n v="2"/>
    <n v="0"/>
    <x v="14"/>
    <x v="1"/>
    <x v="17"/>
    <n v="0"/>
  </r>
  <r>
    <s v="Black Forest"/>
    <x v="0"/>
    <x v="2"/>
    <n v="150"/>
    <n v="250"/>
    <n v="1"/>
    <n v="1"/>
    <n v="0"/>
    <x v="14"/>
    <x v="1"/>
    <x v="17"/>
    <n v="0"/>
  </r>
  <r>
    <s v="Butter Scotch"/>
    <x v="0"/>
    <x v="3"/>
    <n v="100"/>
    <n v="200"/>
    <n v="3"/>
    <n v="1"/>
    <n v="2"/>
    <x v="14"/>
    <x v="1"/>
    <x v="0"/>
    <n v="200"/>
  </r>
  <r>
    <s v="Pineapple"/>
    <x v="1"/>
    <x v="4"/>
    <n v="250"/>
    <n v="350"/>
    <n v="2"/>
    <n v="0"/>
    <n v="2"/>
    <x v="14"/>
    <x v="1"/>
    <x v="4"/>
    <n v="200"/>
  </r>
  <r>
    <s v="Chocolate Truffle"/>
    <x v="1"/>
    <x v="5"/>
    <n v="300"/>
    <n v="400"/>
    <n v="1"/>
    <n v="1"/>
    <n v="0"/>
    <x v="14"/>
    <x v="1"/>
    <x v="17"/>
    <n v="0"/>
  </r>
  <r>
    <s v="Black Forest"/>
    <x v="1"/>
    <x v="6"/>
    <n v="250"/>
    <n v="350"/>
    <n v="2"/>
    <n v="1"/>
    <n v="1"/>
    <x v="14"/>
    <x v="1"/>
    <x v="7"/>
    <n v="100"/>
  </r>
  <r>
    <s v="Butter Scotch"/>
    <x v="1"/>
    <x v="7"/>
    <n v="250"/>
    <n v="350"/>
    <n v="2"/>
    <n v="2"/>
    <n v="0"/>
    <x v="14"/>
    <x v="1"/>
    <x v="17"/>
    <n v="0"/>
  </r>
  <r>
    <s v="Chocochip"/>
    <x v="1"/>
    <x v="8"/>
    <n v="300"/>
    <n v="450"/>
    <n v="2"/>
    <n v="0"/>
    <n v="2"/>
    <x v="14"/>
    <x v="1"/>
    <x v="1"/>
    <n v="300"/>
  </r>
  <r>
    <s v="Fruit Cake(400gram)"/>
    <x v="2"/>
    <x v="9"/>
    <n v="320"/>
    <n v="400"/>
    <n v="0"/>
    <n v="0"/>
    <n v="0"/>
    <x v="14"/>
    <x v="1"/>
    <x v="17"/>
    <n v="0"/>
  </r>
  <r>
    <s v="Fruit Cake(200gram)"/>
    <x v="2"/>
    <x v="10"/>
    <n v="100"/>
    <n v="150"/>
    <n v="5"/>
    <n v="3"/>
    <n v="2"/>
    <x v="14"/>
    <x v="1"/>
    <x v="62"/>
    <n v="100"/>
  </r>
  <r>
    <s v="Pineapple"/>
    <x v="3"/>
    <x v="11"/>
    <n v="25"/>
    <n v="40"/>
    <n v="19"/>
    <n v="3"/>
    <n v="16"/>
    <x v="14"/>
    <x v="1"/>
    <x v="73"/>
    <n v="240"/>
  </r>
  <r>
    <s v="Chocolate Truffle"/>
    <x v="3"/>
    <x v="12"/>
    <n v="30"/>
    <n v="50"/>
    <n v="4"/>
    <n v="4"/>
    <n v="0"/>
    <x v="14"/>
    <x v="1"/>
    <x v="17"/>
    <n v="0"/>
  </r>
  <r>
    <s v="Butter Scotch"/>
    <x v="3"/>
    <x v="13"/>
    <n v="25"/>
    <n v="40"/>
    <n v="3"/>
    <n v="2"/>
    <n v="1"/>
    <x v="14"/>
    <x v="1"/>
    <x v="35"/>
    <n v="15"/>
  </r>
  <r>
    <s v="Black Forest"/>
    <x v="3"/>
    <x v="14"/>
    <n v="25"/>
    <n v="40"/>
    <n v="5"/>
    <n v="3"/>
    <n v="2"/>
    <x v="14"/>
    <x v="1"/>
    <x v="44"/>
    <n v="30"/>
  </r>
  <r>
    <s v="Chocochip"/>
    <x v="3"/>
    <x v="15"/>
    <n v="30"/>
    <n v="55"/>
    <n v="2"/>
    <n v="1"/>
    <n v="1"/>
    <x v="14"/>
    <x v="1"/>
    <x v="30"/>
    <n v="25"/>
  </r>
  <r>
    <s v="Bonfire"/>
    <x v="3"/>
    <x v="16"/>
    <n v="40"/>
    <n v="65"/>
    <n v="14"/>
    <n v="14"/>
    <n v="0"/>
    <x v="14"/>
    <x v="1"/>
    <x v="17"/>
    <n v="0"/>
  </r>
  <r>
    <s v="Choco Lava"/>
    <x v="3"/>
    <x v="17"/>
    <n v="50"/>
    <n v="70"/>
    <n v="0"/>
    <n v="0"/>
    <n v="0"/>
    <x v="14"/>
    <x v="1"/>
    <x v="17"/>
    <n v="0"/>
  </r>
  <r>
    <s v="Cupcakes"/>
    <x v="3"/>
    <x v="18"/>
    <n v="20"/>
    <n v="30"/>
    <n v="15"/>
    <n v="9"/>
    <n v="6"/>
    <x v="14"/>
    <x v="1"/>
    <x v="34"/>
    <n v="60"/>
  </r>
  <r>
    <s v="Muffins"/>
    <x v="3"/>
    <x v="19"/>
    <n v="10"/>
    <n v="20"/>
    <n v="8"/>
    <n v="8"/>
    <n v="0"/>
    <x v="14"/>
    <x v="1"/>
    <x v="17"/>
    <n v="0"/>
  </r>
  <r>
    <s v="Jar Cakes"/>
    <x v="3"/>
    <x v="20"/>
    <n v="60"/>
    <n v="100"/>
    <n v="6"/>
    <n v="6"/>
    <n v="0"/>
    <x v="14"/>
    <x v="1"/>
    <x v="17"/>
    <n v="0"/>
  </r>
  <r>
    <s v="Paneer Sandwich"/>
    <x v="4"/>
    <x v="21"/>
    <n v="50"/>
    <n v="70"/>
    <n v="4"/>
    <n v="0"/>
    <n v="4"/>
    <x v="14"/>
    <x v="1"/>
    <x v="29"/>
    <n v="80"/>
  </r>
  <r>
    <s v="Hotdog"/>
    <x v="4"/>
    <x v="22"/>
    <n v="45"/>
    <n v="65"/>
    <n v="1"/>
    <n v="1"/>
    <n v="0"/>
    <x v="14"/>
    <x v="1"/>
    <x v="17"/>
    <n v="0"/>
  </r>
  <r>
    <s v="Paneer Roll"/>
    <x v="4"/>
    <x v="23"/>
    <n v="50"/>
    <n v="70"/>
    <n v="0"/>
    <n v="0"/>
    <n v="0"/>
    <x v="14"/>
    <x v="1"/>
    <x v="17"/>
    <n v="0"/>
  </r>
  <r>
    <s v="Aloo Patiz"/>
    <x v="4"/>
    <x v="24"/>
    <n v="10"/>
    <n v="15"/>
    <n v="8"/>
    <n v="2"/>
    <n v="6"/>
    <x v="14"/>
    <x v="1"/>
    <x v="38"/>
    <n v="30"/>
  </r>
  <r>
    <s v="Paneer Patiz"/>
    <x v="4"/>
    <x v="25"/>
    <n v="20"/>
    <n v="25"/>
    <n v="5"/>
    <n v="4"/>
    <n v="1"/>
    <x v="14"/>
    <x v="1"/>
    <x v="39"/>
    <n v="5"/>
  </r>
  <r>
    <s v="Pao"/>
    <x v="5"/>
    <x v="26"/>
    <n v="25"/>
    <n v="30"/>
    <n v="3"/>
    <n v="0"/>
    <n v="3"/>
    <x v="14"/>
    <x v="1"/>
    <x v="38"/>
    <n v="15"/>
  </r>
  <r>
    <s v="Burger Buns"/>
    <x v="5"/>
    <x v="27"/>
    <n v="25"/>
    <n v="30"/>
    <n v="6"/>
    <n v="2"/>
    <n v="4"/>
    <x v="14"/>
    <x v="1"/>
    <x v="28"/>
    <n v="20"/>
  </r>
  <r>
    <s v="Pizza Base"/>
    <x v="5"/>
    <x v="28"/>
    <n v="25"/>
    <n v="30"/>
    <n v="2"/>
    <n v="1"/>
    <n v="1"/>
    <x v="14"/>
    <x v="1"/>
    <x v="32"/>
    <n v="5"/>
  </r>
  <r>
    <s v="Brown Bread"/>
    <x v="5"/>
    <x v="29"/>
    <n v="30"/>
    <n v="35"/>
    <n v="4"/>
    <n v="0"/>
    <n v="4"/>
    <x v="14"/>
    <x v="1"/>
    <x v="25"/>
    <n v="20"/>
  </r>
  <r>
    <s v="Pineapple"/>
    <x v="0"/>
    <x v="0"/>
    <n v="100"/>
    <n v="200"/>
    <n v="3"/>
    <n v="2"/>
    <n v="1"/>
    <x v="15"/>
    <x v="7"/>
    <x v="19"/>
    <n v="100"/>
  </r>
  <r>
    <s v="Chocolate Truffle"/>
    <x v="0"/>
    <x v="1"/>
    <n v="200"/>
    <n v="300"/>
    <n v="2"/>
    <n v="1"/>
    <n v="1"/>
    <x v="15"/>
    <x v="7"/>
    <x v="62"/>
    <n v="100"/>
  </r>
  <r>
    <s v="Black Forest"/>
    <x v="0"/>
    <x v="2"/>
    <n v="150"/>
    <n v="250"/>
    <n v="3"/>
    <n v="1"/>
    <n v="2"/>
    <x v="15"/>
    <x v="7"/>
    <x v="12"/>
    <n v="200"/>
  </r>
  <r>
    <s v="Butter Scotch"/>
    <x v="0"/>
    <x v="3"/>
    <n v="100"/>
    <n v="200"/>
    <n v="4"/>
    <n v="1"/>
    <n v="3"/>
    <x v="15"/>
    <x v="7"/>
    <x v="3"/>
    <n v="300"/>
  </r>
  <r>
    <s v="Pineapple"/>
    <x v="1"/>
    <x v="4"/>
    <n v="250"/>
    <n v="350"/>
    <n v="2"/>
    <n v="2"/>
    <n v="0"/>
    <x v="15"/>
    <x v="7"/>
    <x v="17"/>
    <n v="0"/>
  </r>
  <r>
    <s v="Chocolate Truffle"/>
    <x v="1"/>
    <x v="5"/>
    <n v="300"/>
    <n v="400"/>
    <n v="1"/>
    <n v="1"/>
    <n v="0"/>
    <x v="15"/>
    <x v="7"/>
    <x v="17"/>
    <n v="0"/>
  </r>
  <r>
    <s v="Black Forest"/>
    <x v="1"/>
    <x v="6"/>
    <n v="250"/>
    <n v="350"/>
    <n v="2"/>
    <n v="1"/>
    <n v="1"/>
    <x v="15"/>
    <x v="7"/>
    <x v="7"/>
    <n v="100"/>
  </r>
  <r>
    <s v="Butter Scotch"/>
    <x v="1"/>
    <x v="7"/>
    <n v="250"/>
    <n v="350"/>
    <n v="2"/>
    <n v="1"/>
    <n v="1"/>
    <x v="15"/>
    <x v="7"/>
    <x v="7"/>
    <n v="100"/>
  </r>
  <r>
    <s v="Chocochip"/>
    <x v="1"/>
    <x v="8"/>
    <n v="300"/>
    <n v="450"/>
    <n v="1"/>
    <n v="1"/>
    <n v="0"/>
    <x v="15"/>
    <x v="7"/>
    <x v="17"/>
    <n v="0"/>
  </r>
  <r>
    <s v="Fruit Cake(400gram)"/>
    <x v="2"/>
    <x v="9"/>
    <n v="320"/>
    <n v="400"/>
    <n v="0"/>
    <n v="0"/>
    <n v="0"/>
    <x v="15"/>
    <x v="7"/>
    <x v="17"/>
    <n v="0"/>
  </r>
  <r>
    <s v="Fruit Cake(200gram)"/>
    <x v="2"/>
    <x v="10"/>
    <n v="100"/>
    <n v="150"/>
    <n v="3"/>
    <n v="3"/>
    <n v="0"/>
    <x v="15"/>
    <x v="7"/>
    <x v="17"/>
    <n v="0"/>
  </r>
  <r>
    <s v="Pineapple"/>
    <x v="3"/>
    <x v="11"/>
    <n v="25"/>
    <n v="40"/>
    <n v="11"/>
    <n v="3"/>
    <n v="8"/>
    <x v="15"/>
    <x v="7"/>
    <x v="48"/>
    <n v="120"/>
  </r>
  <r>
    <s v="Chocolate Truffle"/>
    <x v="3"/>
    <x v="12"/>
    <n v="30"/>
    <n v="50"/>
    <n v="12"/>
    <n v="5"/>
    <n v="7"/>
    <x v="15"/>
    <x v="7"/>
    <x v="7"/>
    <n v="140"/>
  </r>
  <r>
    <s v="Butter Scotch"/>
    <x v="3"/>
    <x v="13"/>
    <n v="25"/>
    <n v="40"/>
    <n v="10"/>
    <n v="10"/>
    <n v="0"/>
    <x v="15"/>
    <x v="7"/>
    <x v="17"/>
    <n v="0"/>
  </r>
  <r>
    <s v="Black Forest"/>
    <x v="3"/>
    <x v="14"/>
    <n v="25"/>
    <n v="40"/>
    <n v="11"/>
    <n v="7"/>
    <n v="4"/>
    <x v="15"/>
    <x v="7"/>
    <x v="63"/>
    <n v="60"/>
  </r>
  <r>
    <s v="Chocochip"/>
    <x v="3"/>
    <x v="15"/>
    <n v="30"/>
    <n v="55"/>
    <n v="9"/>
    <n v="9"/>
    <n v="0"/>
    <x v="15"/>
    <x v="7"/>
    <x v="17"/>
    <n v="0"/>
  </r>
  <r>
    <s v="Bonfire"/>
    <x v="3"/>
    <x v="16"/>
    <n v="40"/>
    <n v="65"/>
    <n v="14"/>
    <n v="1"/>
    <n v="13"/>
    <x v="15"/>
    <x v="7"/>
    <x v="74"/>
    <n v="325"/>
  </r>
  <r>
    <s v="Choco Lava"/>
    <x v="3"/>
    <x v="17"/>
    <n v="50"/>
    <n v="70"/>
    <n v="0"/>
    <n v="0"/>
    <n v="0"/>
    <x v="15"/>
    <x v="7"/>
    <x v="17"/>
    <n v="0"/>
  </r>
  <r>
    <s v="Cupcakes"/>
    <x v="3"/>
    <x v="18"/>
    <n v="20"/>
    <n v="30"/>
    <n v="28"/>
    <n v="22"/>
    <n v="6"/>
    <x v="15"/>
    <x v="7"/>
    <x v="34"/>
    <n v="60"/>
  </r>
  <r>
    <s v="Muffins"/>
    <x v="3"/>
    <x v="19"/>
    <n v="10"/>
    <n v="20"/>
    <n v="17"/>
    <n v="17"/>
    <n v="0"/>
    <x v="15"/>
    <x v="7"/>
    <x v="17"/>
    <n v="0"/>
  </r>
  <r>
    <s v="Jar Cakes"/>
    <x v="3"/>
    <x v="20"/>
    <n v="60"/>
    <n v="100"/>
    <n v="6"/>
    <n v="6"/>
    <n v="0"/>
    <x v="15"/>
    <x v="7"/>
    <x v="17"/>
    <n v="0"/>
  </r>
  <r>
    <s v="Paneer Sandwich"/>
    <x v="4"/>
    <x v="21"/>
    <n v="50"/>
    <n v="70"/>
    <n v="0"/>
    <n v="0"/>
    <n v="0"/>
    <x v="15"/>
    <x v="7"/>
    <x v="17"/>
    <n v="0"/>
  </r>
  <r>
    <s v="Hotdog"/>
    <x v="4"/>
    <x v="22"/>
    <n v="45"/>
    <n v="65"/>
    <n v="1"/>
    <n v="0"/>
    <n v="1"/>
    <x v="15"/>
    <x v="7"/>
    <x v="71"/>
    <n v="20"/>
  </r>
  <r>
    <s v="Paneer Roll"/>
    <x v="4"/>
    <x v="23"/>
    <n v="50"/>
    <n v="70"/>
    <n v="0"/>
    <n v="0"/>
    <n v="0"/>
    <x v="15"/>
    <x v="7"/>
    <x v="17"/>
    <n v="0"/>
  </r>
  <r>
    <s v="Aloo Patiz"/>
    <x v="4"/>
    <x v="24"/>
    <n v="10"/>
    <n v="15"/>
    <n v="7"/>
    <n v="2"/>
    <n v="5"/>
    <x v="15"/>
    <x v="7"/>
    <x v="49"/>
    <n v="25"/>
  </r>
  <r>
    <s v="Paneer Patiz"/>
    <x v="4"/>
    <x v="25"/>
    <n v="20"/>
    <n v="25"/>
    <n v="9"/>
    <n v="3"/>
    <n v="6"/>
    <x v="15"/>
    <x v="7"/>
    <x v="22"/>
    <n v="30"/>
  </r>
  <r>
    <s v="Pao"/>
    <x v="5"/>
    <x v="26"/>
    <n v="25"/>
    <n v="30"/>
    <n v="10"/>
    <n v="6"/>
    <n v="4"/>
    <x v="15"/>
    <x v="7"/>
    <x v="28"/>
    <n v="20"/>
  </r>
  <r>
    <s v="Burger Buns"/>
    <x v="5"/>
    <x v="27"/>
    <n v="25"/>
    <n v="30"/>
    <n v="8"/>
    <n v="7"/>
    <n v="1"/>
    <x v="15"/>
    <x v="7"/>
    <x v="32"/>
    <n v="5"/>
  </r>
  <r>
    <s v="Pizza Base"/>
    <x v="5"/>
    <x v="28"/>
    <n v="25"/>
    <n v="30"/>
    <n v="7"/>
    <n v="5"/>
    <n v="2"/>
    <x v="15"/>
    <x v="7"/>
    <x v="42"/>
    <n v="10"/>
  </r>
  <r>
    <s v="Brown Bread"/>
    <x v="5"/>
    <x v="29"/>
    <n v="30"/>
    <n v="35"/>
    <n v="10"/>
    <n v="8"/>
    <n v="2"/>
    <x v="15"/>
    <x v="7"/>
    <x v="20"/>
    <n v="10"/>
  </r>
  <r>
    <s v="Pineapple"/>
    <x v="0"/>
    <x v="0"/>
    <n v="100"/>
    <n v="200"/>
    <n v="2"/>
    <n v="1"/>
    <n v="1"/>
    <x v="16"/>
    <x v="4"/>
    <x v="19"/>
    <n v="100"/>
  </r>
  <r>
    <s v="Chocolate Truffle"/>
    <x v="0"/>
    <x v="1"/>
    <n v="200"/>
    <n v="300"/>
    <n v="1"/>
    <n v="1"/>
    <n v="0"/>
    <x v="16"/>
    <x v="4"/>
    <x v="17"/>
    <n v="0"/>
  </r>
  <r>
    <s v="Black Forest"/>
    <x v="0"/>
    <x v="2"/>
    <n v="150"/>
    <n v="250"/>
    <n v="2"/>
    <n v="2"/>
    <n v="0"/>
    <x v="16"/>
    <x v="4"/>
    <x v="17"/>
    <n v="0"/>
  </r>
  <r>
    <s v="Butter Scotch"/>
    <x v="0"/>
    <x v="3"/>
    <n v="100"/>
    <n v="200"/>
    <n v="1"/>
    <n v="0"/>
    <n v="1"/>
    <x v="16"/>
    <x v="4"/>
    <x v="19"/>
    <n v="100"/>
  </r>
  <r>
    <s v="Pineapple"/>
    <x v="1"/>
    <x v="4"/>
    <n v="250"/>
    <n v="350"/>
    <n v="2"/>
    <n v="1"/>
    <n v="1"/>
    <x v="16"/>
    <x v="4"/>
    <x v="7"/>
    <n v="100"/>
  </r>
  <r>
    <s v="Chocolate Truffle"/>
    <x v="1"/>
    <x v="5"/>
    <n v="300"/>
    <n v="400"/>
    <n v="1"/>
    <n v="1"/>
    <n v="0"/>
    <x v="16"/>
    <x v="4"/>
    <x v="17"/>
    <n v="0"/>
  </r>
  <r>
    <s v="Black Forest"/>
    <x v="1"/>
    <x v="6"/>
    <n v="250"/>
    <n v="350"/>
    <n v="1"/>
    <n v="0"/>
    <n v="1"/>
    <x v="16"/>
    <x v="4"/>
    <x v="7"/>
    <n v="100"/>
  </r>
  <r>
    <s v="Butter Scotch"/>
    <x v="1"/>
    <x v="7"/>
    <n v="250"/>
    <n v="350"/>
    <n v="1"/>
    <n v="0"/>
    <n v="1"/>
    <x v="16"/>
    <x v="4"/>
    <x v="7"/>
    <n v="100"/>
  </r>
  <r>
    <s v="Chocochip"/>
    <x v="1"/>
    <x v="8"/>
    <n v="300"/>
    <n v="450"/>
    <n v="1"/>
    <n v="1"/>
    <n v="0"/>
    <x v="16"/>
    <x v="4"/>
    <x v="17"/>
    <n v="0"/>
  </r>
  <r>
    <s v="Fruit Cake(400gram)"/>
    <x v="2"/>
    <x v="9"/>
    <n v="320"/>
    <n v="400"/>
    <n v="0"/>
    <n v="0"/>
    <n v="0"/>
    <x v="16"/>
    <x v="4"/>
    <x v="17"/>
    <n v="0"/>
  </r>
  <r>
    <s v="Fruit Cake(200gram)"/>
    <x v="2"/>
    <x v="10"/>
    <n v="100"/>
    <n v="150"/>
    <n v="3"/>
    <n v="3"/>
    <n v="0"/>
    <x v="16"/>
    <x v="4"/>
    <x v="17"/>
    <n v="0"/>
  </r>
  <r>
    <s v="Pineapple"/>
    <x v="3"/>
    <x v="11"/>
    <n v="25"/>
    <n v="40"/>
    <n v="3"/>
    <n v="3"/>
    <n v="0"/>
    <x v="16"/>
    <x v="4"/>
    <x v="17"/>
    <n v="0"/>
  </r>
  <r>
    <s v="Chocolate Truffle"/>
    <x v="3"/>
    <x v="12"/>
    <n v="30"/>
    <n v="50"/>
    <n v="5"/>
    <n v="4"/>
    <n v="1"/>
    <x v="16"/>
    <x v="4"/>
    <x v="41"/>
    <n v="20"/>
  </r>
  <r>
    <s v="Butter Scotch"/>
    <x v="3"/>
    <x v="13"/>
    <n v="25"/>
    <n v="40"/>
    <n v="10"/>
    <n v="10"/>
    <n v="0"/>
    <x v="16"/>
    <x v="4"/>
    <x v="17"/>
    <n v="0"/>
  </r>
  <r>
    <s v="Black Forest"/>
    <x v="3"/>
    <x v="14"/>
    <n v="25"/>
    <n v="40"/>
    <n v="7"/>
    <n v="7"/>
    <n v="0"/>
    <x v="16"/>
    <x v="4"/>
    <x v="17"/>
    <n v="0"/>
  </r>
  <r>
    <s v="Chocochip"/>
    <x v="3"/>
    <x v="15"/>
    <n v="30"/>
    <n v="55"/>
    <n v="9"/>
    <n v="8"/>
    <n v="1"/>
    <x v="16"/>
    <x v="4"/>
    <x v="30"/>
    <n v="25"/>
  </r>
  <r>
    <s v="Bonfire"/>
    <x v="3"/>
    <x v="16"/>
    <n v="40"/>
    <n v="65"/>
    <n v="11"/>
    <n v="8"/>
    <n v="3"/>
    <x v="16"/>
    <x v="4"/>
    <x v="65"/>
    <n v="75"/>
  </r>
  <r>
    <s v="Choco Lava"/>
    <x v="3"/>
    <x v="17"/>
    <n v="50"/>
    <n v="70"/>
    <n v="0"/>
    <n v="0"/>
    <n v="0"/>
    <x v="16"/>
    <x v="4"/>
    <x v="17"/>
    <n v="0"/>
  </r>
  <r>
    <s v="Cupcakes"/>
    <x v="3"/>
    <x v="18"/>
    <n v="20"/>
    <n v="30"/>
    <n v="22"/>
    <n v="22"/>
    <n v="0"/>
    <x v="16"/>
    <x v="4"/>
    <x v="17"/>
    <n v="0"/>
  </r>
  <r>
    <s v="Muffins"/>
    <x v="3"/>
    <x v="19"/>
    <n v="10"/>
    <n v="20"/>
    <n v="17"/>
    <n v="17"/>
    <n v="0"/>
    <x v="16"/>
    <x v="4"/>
    <x v="17"/>
    <n v="0"/>
  </r>
  <r>
    <s v="Jar Cakes"/>
    <x v="3"/>
    <x v="20"/>
    <n v="60"/>
    <n v="100"/>
    <n v="6"/>
    <n v="6"/>
    <n v="0"/>
    <x v="16"/>
    <x v="4"/>
    <x v="17"/>
    <n v="0"/>
  </r>
  <r>
    <s v="Paneer Sandwich"/>
    <x v="4"/>
    <x v="21"/>
    <n v="50"/>
    <n v="70"/>
    <n v="0"/>
    <n v="0"/>
    <n v="0"/>
    <x v="16"/>
    <x v="4"/>
    <x v="17"/>
    <n v="0"/>
  </r>
  <r>
    <s v="Hotdog"/>
    <x v="4"/>
    <x v="22"/>
    <n v="45"/>
    <n v="65"/>
    <n v="0"/>
    <n v="0"/>
    <n v="0"/>
    <x v="16"/>
    <x v="4"/>
    <x v="17"/>
    <n v="0"/>
  </r>
  <r>
    <s v="Paneer Roll"/>
    <x v="4"/>
    <x v="23"/>
    <n v="50"/>
    <n v="70"/>
    <n v="0"/>
    <n v="0"/>
    <n v="0"/>
    <x v="16"/>
    <x v="4"/>
    <x v="17"/>
    <n v="0"/>
  </r>
  <r>
    <s v="Aloo Patiz"/>
    <x v="4"/>
    <x v="24"/>
    <n v="10"/>
    <n v="15"/>
    <n v="2"/>
    <n v="0"/>
    <n v="2"/>
    <x v="16"/>
    <x v="4"/>
    <x v="32"/>
    <n v="10"/>
  </r>
  <r>
    <s v="Paneer Patiz"/>
    <x v="4"/>
    <x v="25"/>
    <n v="20"/>
    <n v="25"/>
    <n v="3"/>
    <n v="0"/>
    <n v="3"/>
    <x v="16"/>
    <x v="4"/>
    <x v="49"/>
    <n v="15"/>
  </r>
  <r>
    <s v="Pao"/>
    <x v="5"/>
    <x v="26"/>
    <n v="25"/>
    <n v="30"/>
    <n v="16"/>
    <n v="10"/>
    <n v="6"/>
    <x v="16"/>
    <x v="4"/>
    <x v="34"/>
    <n v="30"/>
  </r>
  <r>
    <s v="Burger Buns"/>
    <x v="5"/>
    <x v="27"/>
    <n v="25"/>
    <n v="30"/>
    <n v="7"/>
    <n v="7"/>
    <n v="0"/>
    <x v="16"/>
    <x v="4"/>
    <x v="17"/>
    <n v="0"/>
  </r>
  <r>
    <s v="Pizza Base"/>
    <x v="5"/>
    <x v="28"/>
    <n v="25"/>
    <n v="30"/>
    <n v="5"/>
    <n v="5"/>
    <n v="0"/>
    <x v="16"/>
    <x v="4"/>
    <x v="17"/>
    <n v="0"/>
  </r>
  <r>
    <s v="Brown Bread"/>
    <x v="5"/>
    <x v="29"/>
    <n v="30"/>
    <n v="35"/>
    <n v="13"/>
    <n v="2"/>
    <n v="11"/>
    <x v="16"/>
    <x v="4"/>
    <x v="75"/>
    <n v="55"/>
  </r>
  <r>
    <s v="Pineapple"/>
    <x v="0"/>
    <x v="0"/>
    <n v="100"/>
    <n v="200"/>
    <n v="3"/>
    <n v="1"/>
    <n v="2"/>
    <x v="17"/>
    <x v="5"/>
    <x v="0"/>
    <n v="200"/>
  </r>
  <r>
    <s v="Chocolate Truffle"/>
    <x v="0"/>
    <x v="1"/>
    <n v="200"/>
    <n v="300"/>
    <n v="3"/>
    <n v="3"/>
    <n v="0"/>
    <x v="17"/>
    <x v="5"/>
    <x v="17"/>
    <n v="0"/>
  </r>
  <r>
    <s v="Black Forest"/>
    <x v="0"/>
    <x v="2"/>
    <n v="150"/>
    <n v="250"/>
    <n v="4"/>
    <n v="1"/>
    <n v="3"/>
    <x v="17"/>
    <x v="5"/>
    <x v="2"/>
    <n v="300"/>
  </r>
  <r>
    <s v="Butter Scotch"/>
    <x v="0"/>
    <x v="3"/>
    <n v="100"/>
    <n v="200"/>
    <n v="2"/>
    <n v="1"/>
    <n v="1"/>
    <x v="17"/>
    <x v="5"/>
    <x v="19"/>
    <n v="100"/>
  </r>
  <r>
    <s v="Pineapple"/>
    <x v="1"/>
    <x v="4"/>
    <n v="250"/>
    <n v="350"/>
    <n v="2"/>
    <n v="2"/>
    <n v="0"/>
    <x v="17"/>
    <x v="5"/>
    <x v="17"/>
    <n v="0"/>
  </r>
  <r>
    <s v="Chocolate Truffle"/>
    <x v="1"/>
    <x v="5"/>
    <n v="300"/>
    <n v="400"/>
    <n v="2"/>
    <n v="2"/>
    <n v="0"/>
    <x v="17"/>
    <x v="5"/>
    <x v="17"/>
    <n v="0"/>
  </r>
  <r>
    <s v="Black Forest"/>
    <x v="1"/>
    <x v="6"/>
    <n v="250"/>
    <n v="350"/>
    <n v="2"/>
    <n v="1"/>
    <n v="1"/>
    <x v="17"/>
    <x v="5"/>
    <x v="7"/>
    <n v="100"/>
  </r>
  <r>
    <s v="Butter Scotch"/>
    <x v="1"/>
    <x v="7"/>
    <n v="250"/>
    <n v="350"/>
    <n v="0"/>
    <n v="0"/>
    <n v="0"/>
    <x v="17"/>
    <x v="5"/>
    <x v="17"/>
    <n v="0"/>
  </r>
  <r>
    <s v="Chocochip"/>
    <x v="1"/>
    <x v="8"/>
    <n v="300"/>
    <n v="450"/>
    <n v="1"/>
    <n v="1"/>
    <n v="0"/>
    <x v="17"/>
    <x v="5"/>
    <x v="17"/>
    <n v="0"/>
  </r>
  <r>
    <s v="Fruit Cake(400gram)"/>
    <x v="2"/>
    <x v="9"/>
    <n v="320"/>
    <n v="400"/>
    <n v="0"/>
    <n v="0"/>
    <n v="0"/>
    <x v="17"/>
    <x v="5"/>
    <x v="17"/>
    <n v="0"/>
  </r>
  <r>
    <s v="Fruit Cake(200gram)"/>
    <x v="2"/>
    <x v="10"/>
    <n v="100"/>
    <n v="150"/>
    <n v="3"/>
    <n v="3"/>
    <n v="0"/>
    <x v="17"/>
    <x v="5"/>
    <x v="17"/>
    <n v="0"/>
  </r>
  <r>
    <s v="Pineapple"/>
    <x v="3"/>
    <x v="11"/>
    <n v="25"/>
    <n v="40"/>
    <n v="16"/>
    <n v="15"/>
    <n v="1"/>
    <x v="17"/>
    <x v="5"/>
    <x v="35"/>
    <n v="15"/>
  </r>
  <r>
    <s v="Chocolate Truffle"/>
    <x v="3"/>
    <x v="12"/>
    <n v="30"/>
    <n v="50"/>
    <n v="13"/>
    <n v="13"/>
    <n v="0"/>
    <x v="17"/>
    <x v="5"/>
    <x v="17"/>
    <n v="0"/>
  </r>
  <r>
    <s v="Butter Scotch"/>
    <x v="3"/>
    <x v="13"/>
    <n v="25"/>
    <n v="40"/>
    <n v="18"/>
    <n v="15"/>
    <n v="3"/>
    <x v="17"/>
    <x v="5"/>
    <x v="28"/>
    <n v="45"/>
  </r>
  <r>
    <s v="Black Forest"/>
    <x v="3"/>
    <x v="14"/>
    <n v="25"/>
    <n v="40"/>
    <n v="15"/>
    <n v="9"/>
    <n v="6"/>
    <x v="17"/>
    <x v="5"/>
    <x v="47"/>
    <n v="90"/>
  </r>
  <r>
    <s v="Chocochip"/>
    <x v="3"/>
    <x v="15"/>
    <n v="30"/>
    <n v="55"/>
    <n v="16"/>
    <n v="12"/>
    <n v="4"/>
    <x v="17"/>
    <x v="5"/>
    <x v="76"/>
    <n v="100"/>
  </r>
  <r>
    <s v="Bonfire"/>
    <x v="3"/>
    <x v="16"/>
    <n v="40"/>
    <n v="65"/>
    <n v="16"/>
    <n v="9"/>
    <n v="7"/>
    <x v="17"/>
    <x v="5"/>
    <x v="77"/>
    <n v="175"/>
  </r>
  <r>
    <s v="Choco Lava"/>
    <x v="3"/>
    <x v="17"/>
    <n v="50"/>
    <n v="70"/>
    <n v="0"/>
    <n v="0"/>
    <n v="0"/>
    <x v="17"/>
    <x v="5"/>
    <x v="17"/>
    <n v="0"/>
  </r>
  <r>
    <s v="Cupcakes"/>
    <x v="3"/>
    <x v="18"/>
    <n v="20"/>
    <n v="30"/>
    <n v="22"/>
    <n v="17"/>
    <n v="5"/>
    <x v="17"/>
    <x v="5"/>
    <x v="22"/>
    <n v="50"/>
  </r>
  <r>
    <s v="Muffins"/>
    <x v="3"/>
    <x v="19"/>
    <n v="10"/>
    <n v="20"/>
    <n v="17"/>
    <n v="17"/>
    <n v="0"/>
    <x v="17"/>
    <x v="5"/>
    <x v="17"/>
    <n v="0"/>
  </r>
  <r>
    <s v="Jar Cakes"/>
    <x v="3"/>
    <x v="20"/>
    <n v="60"/>
    <n v="100"/>
    <n v="6"/>
    <n v="4"/>
    <n v="2"/>
    <x v="17"/>
    <x v="5"/>
    <x v="19"/>
    <n v="80"/>
  </r>
  <r>
    <s v="Paneer Sandwich"/>
    <x v="4"/>
    <x v="21"/>
    <n v="50"/>
    <n v="70"/>
    <n v="4"/>
    <n v="2"/>
    <n v="2"/>
    <x v="17"/>
    <x v="5"/>
    <x v="25"/>
    <n v="40"/>
  </r>
  <r>
    <s v="Hotdog"/>
    <x v="4"/>
    <x v="22"/>
    <n v="45"/>
    <n v="65"/>
    <n v="0"/>
    <n v="0"/>
    <n v="0"/>
    <x v="17"/>
    <x v="5"/>
    <x v="17"/>
    <n v="0"/>
  </r>
  <r>
    <s v="Paneer Roll"/>
    <x v="4"/>
    <x v="23"/>
    <n v="50"/>
    <n v="70"/>
    <n v="0"/>
    <n v="0"/>
    <n v="0"/>
    <x v="17"/>
    <x v="5"/>
    <x v="17"/>
    <n v="0"/>
  </r>
  <r>
    <s v="Aloo Patiz"/>
    <x v="4"/>
    <x v="24"/>
    <n v="10"/>
    <n v="15"/>
    <n v="5"/>
    <n v="5"/>
    <n v="0"/>
    <x v="17"/>
    <x v="5"/>
    <x v="17"/>
    <n v="0"/>
  </r>
  <r>
    <s v="Paneer Patiz"/>
    <x v="4"/>
    <x v="25"/>
    <n v="20"/>
    <n v="25"/>
    <n v="5"/>
    <n v="4"/>
    <n v="1"/>
    <x v="17"/>
    <x v="5"/>
    <x v="39"/>
    <n v="5"/>
  </r>
  <r>
    <s v="Pao"/>
    <x v="5"/>
    <x v="26"/>
    <n v="25"/>
    <n v="30"/>
    <n v="10"/>
    <n v="7"/>
    <n v="3"/>
    <x v="17"/>
    <x v="5"/>
    <x v="38"/>
    <n v="15"/>
  </r>
  <r>
    <s v="Burger Buns"/>
    <x v="5"/>
    <x v="27"/>
    <n v="25"/>
    <n v="30"/>
    <n v="7"/>
    <n v="7"/>
    <n v="0"/>
    <x v="17"/>
    <x v="5"/>
    <x v="17"/>
    <n v="0"/>
  </r>
  <r>
    <s v="Pizza Base"/>
    <x v="5"/>
    <x v="28"/>
    <n v="25"/>
    <n v="30"/>
    <n v="10"/>
    <n v="9"/>
    <n v="1"/>
    <x v="17"/>
    <x v="5"/>
    <x v="32"/>
    <n v="5"/>
  </r>
  <r>
    <s v="Brown Bread"/>
    <x v="5"/>
    <x v="29"/>
    <n v="30"/>
    <n v="35"/>
    <n v="7"/>
    <n v="5"/>
    <n v="2"/>
    <x v="17"/>
    <x v="5"/>
    <x v="20"/>
    <n v="10"/>
  </r>
  <r>
    <s v="Pineapple"/>
    <x v="0"/>
    <x v="0"/>
    <n v="100"/>
    <n v="200"/>
    <n v="4"/>
    <n v="4"/>
    <n v="0"/>
    <x v="18"/>
    <x v="6"/>
    <x v="17"/>
    <n v="0"/>
  </r>
  <r>
    <s v="Chocolate Truffle"/>
    <x v="0"/>
    <x v="1"/>
    <n v="200"/>
    <n v="300"/>
    <n v="5"/>
    <n v="0"/>
    <n v="5"/>
    <x v="18"/>
    <x v="6"/>
    <x v="10"/>
    <n v="500"/>
  </r>
  <r>
    <s v="Black Forest"/>
    <x v="0"/>
    <x v="2"/>
    <n v="150"/>
    <n v="250"/>
    <n v="3"/>
    <n v="3"/>
    <n v="0"/>
    <x v="18"/>
    <x v="6"/>
    <x v="17"/>
    <n v="0"/>
  </r>
  <r>
    <s v="Butter Scotch"/>
    <x v="0"/>
    <x v="3"/>
    <n v="100"/>
    <n v="200"/>
    <n v="3"/>
    <n v="2"/>
    <n v="1"/>
    <x v="18"/>
    <x v="6"/>
    <x v="19"/>
    <n v="100"/>
  </r>
  <r>
    <s v="Pineapple"/>
    <x v="1"/>
    <x v="4"/>
    <n v="250"/>
    <n v="350"/>
    <n v="4"/>
    <n v="2"/>
    <n v="2"/>
    <x v="18"/>
    <x v="6"/>
    <x v="4"/>
    <n v="200"/>
  </r>
  <r>
    <s v="Chocolate Truffle"/>
    <x v="1"/>
    <x v="5"/>
    <n v="300"/>
    <n v="400"/>
    <n v="4"/>
    <n v="1"/>
    <n v="3"/>
    <x v="18"/>
    <x v="6"/>
    <x v="9"/>
    <n v="300"/>
  </r>
  <r>
    <s v="Black Forest"/>
    <x v="1"/>
    <x v="6"/>
    <n v="250"/>
    <n v="350"/>
    <n v="2"/>
    <n v="0"/>
    <n v="2"/>
    <x v="18"/>
    <x v="6"/>
    <x v="4"/>
    <n v="200"/>
  </r>
  <r>
    <s v="Butter Scotch"/>
    <x v="1"/>
    <x v="7"/>
    <n v="250"/>
    <n v="350"/>
    <n v="1"/>
    <n v="1"/>
    <n v="0"/>
    <x v="18"/>
    <x v="6"/>
    <x v="17"/>
    <n v="0"/>
  </r>
  <r>
    <s v="Chocochip"/>
    <x v="1"/>
    <x v="8"/>
    <n v="300"/>
    <n v="450"/>
    <n v="2"/>
    <n v="0"/>
    <n v="2"/>
    <x v="18"/>
    <x v="6"/>
    <x v="1"/>
    <n v="300"/>
  </r>
  <r>
    <s v="Fruit Cake(400gram)"/>
    <x v="2"/>
    <x v="9"/>
    <n v="320"/>
    <n v="400"/>
    <n v="0"/>
    <n v="0"/>
    <n v="0"/>
    <x v="18"/>
    <x v="6"/>
    <x v="17"/>
    <n v="0"/>
  </r>
  <r>
    <s v="Fruit Cake(200gram)"/>
    <x v="2"/>
    <x v="10"/>
    <n v="100"/>
    <n v="150"/>
    <n v="3"/>
    <n v="3"/>
    <n v="0"/>
    <x v="18"/>
    <x v="6"/>
    <x v="17"/>
    <n v="0"/>
  </r>
  <r>
    <s v="Pineapple"/>
    <x v="3"/>
    <x v="11"/>
    <n v="25"/>
    <n v="40"/>
    <n v="15"/>
    <n v="11"/>
    <n v="4"/>
    <x v="18"/>
    <x v="6"/>
    <x v="63"/>
    <n v="60"/>
  </r>
  <r>
    <s v="Chocolate Truffle"/>
    <x v="3"/>
    <x v="12"/>
    <n v="30"/>
    <n v="50"/>
    <n v="13"/>
    <n v="11"/>
    <n v="2"/>
    <x v="18"/>
    <x v="6"/>
    <x v="33"/>
    <n v="40"/>
  </r>
  <r>
    <s v="Butter Scotch"/>
    <x v="3"/>
    <x v="13"/>
    <n v="25"/>
    <n v="40"/>
    <n v="15"/>
    <n v="10"/>
    <n v="5"/>
    <x v="18"/>
    <x v="6"/>
    <x v="19"/>
    <n v="75"/>
  </r>
  <r>
    <s v="Black Forest"/>
    <x v="3"/>
    <x v="14"/>
    <n v="25"/>
    <n v="40"/>
    <n v="9"/>
    <n v="2"/>
    <n v="7"/>
    <x v="18"/>
    <x v="6"/>
    <x v="29"/>
    <n v="105"/>
  </r>
  <r>
    <s v="Chocochip"/>
    <x v="3"/>
    <x v="15"/>
    <n v="30"/>
    <n v="55"/>
    <n v="12"/>
    <n v="6"/>
    <n v="6"/>
    <x v="18"/>
    <x v="6"/>
    <x v="78"/>
    <n v="150"/>
  </r>
  <r>
    <s v="Bonfire"/>
    <x v="3"/>
    <x v="16"/>
    <n v="40"/>
    <n v="65"/>
    <n v="9"/>
    <n v="5"/>
    <n v="4"/>
    <x v="18"/>
    <x v="6"/>
    <x v="56"/>
    <n v="100"/>
  </r>
  <r>
    <s v="Choco Lava"/>
    <x v="3"/>
    <x v="17"/>
    <n v="50"/>
    <n v="70"/>
    <n v="0"/>
    <n v="0"/>
    <n v="0"/>
    <x v="18"/>
    <x v="6"/>
    <x v="17"/>
    <n v="0"/>
  </r>
  <r>
    <s v="Cupcakes"/>
    <x v="3"/>
    <x v="18"/>
    <n v="20"/>
    <n v="30"/>
    <n v="17"/>
    <n v="13"/>
    <n v="4"/>
    <x v="18"/>
    <x v="6"/>
    <x v="28"/>
    <n v="40"/>
  </r>
  <r>
    <s v="Muffins"/>
    <x v="3"/>
    <x v="19"/>
    <n v="10"/>
    <n v="20"/>
    <n v="17"/>
    <n v="8"/>
    <n v="9"/>
    <x v="18"/>
    <x v="6"/>
    <x v="34"/>
    <n v="90"/>
  </r>
  <r>
    <s v="Jar Cakes"/>
    <x v="3"/>
    <x v="20"/>
    <n v="60"/>
    <n v="100"/>
    <n v="4"/>
    <n v="4"/>
    <n v="0"/>
    <x v="18"/>
    <x v="6"/>
    <x v="17"/>
    <n v="0"/>
  </r>
  <r>
    <s v="Paneer Sandwich"/>
    <x v="4"/>
    <x v="21"/>
    <n v="50"/>
    <n v="70"/>
    <n v="4"/>
    <n v="2"/>
    <n v="2"/>
    <x v="18"/>
    <x v="6"/>
    <x v="25"/>
    <n v="40"/>
  </r>
  <r>
    <s v="Hotdog"/>
    <x v="4"/>
    <x v="22"/>
    <n v="45"/>
    <n v="65"/>
    <n v="0"/>
    <n v="0"/>
    <n v="0"/>
    <x v="18"/>
    <x v="6"/>
    <x v="17"/>
    <n v="0"/>
  </r>
  <r>
    <s v="Paneer Roll"/>
    <x v="4"/>
    <x v="23"/>
    <n v="50"/>
    <n v="70"/>
    <n v="0"/>
    <n v="0"/>
    <n v="0"/>
    <x v="18"/>
    <x v="6"/>
    <x v="17"/>
    <n v="0"/>
  </r>
  <r>
    <s v="Aloo Patiz"/>
    <x v="4"/>
    <x v="24"/>
    <n v="10"/>
    <n v="15"/>
    <n v="10"/>
    <n v="3"/>
    <n v="7"/>
    <x v="18"/>
    <x v="6"/>
    <x v="45"/>
    <n v="35"/>
  </r>
  <r>
    <s v="Paneer Patiz"/>
    <x v="4"/>
    <x v="25"/>
    <n v="20"/>
    <n v="25"/>
    <n v="9"/>
    <n v="4"/>
    <n v="5"/>
    <x v="18"/>
    <x v="6"/>
    <x v="79"/>
    <n v="25"/>
  </r>
  <r>
    <s v="Pao"/>
    <x v="5"/>
    <x v="26"/>
    <n v="25"/>
    <n v="30"/>
    <n v="15"/>
    <n v="8"/>
    <n v="7"/>
    <x v="18"/>
    <x v="6"/>
    <x v="24"/>
    <n v="35"/>
  </r>
  <r>
    <s v="Burger Buns"/>
    <x v="5"/>
    <x v="27"/>
    <n v="25"/>
    <n v="30"/>
    <n v="7"/>
    <n v="6"/>
    <n v="1"/>
    <x v="18"/>
    <x v="6"/>
    <x v="32"/>
    <n v="5"/>
  </r>
  <r>
    <s v="Pizza Base"/>
    <x v="5"/>
    <x v="28"/>
    <n v="25"/>
    <n v="30"/>
    <n v="9"/>
    <n v="4"/>
    <n v="5"/>
    <x v="18"/>
    <x v="6"/>
    <x v="22"/>
    <n v="25"/>
  </r>
  <r>
    <s v="Brown Bread"/>
    <x v="5"/>
    <x v="29"/>
    <n v="30"/>
    <n v="35"/>
    <n v="8"/>
    <n v="8"/>
    <n v="0"/>
    <x v="18"/>
    <x v="6"/>
    <x v="17"/>
    <n v="0"/>
  </r>
  <r>
    <s v="Pineapple"/>
    <x v="0"/>
    <x v="0"/>
    <n v="100"/>
    <n v="200"/>
    <n v="4"/>
    <n v="2"/>
    <n v="2"/>
    <x v="19"/>
    <x v="0"/>
    <x v="0"/>
    <n v="200"/>
  </r>
  <r>
    <s v="Chocolate Truffle"/>
    <x v="0"/>
    <x v="1"/>
    <n v="200"/>
    <n v="300"/>
    <n v="0"/>
    <n v="0"/>
    <n v="0"/>
    <x v="19"/>
    <x v="0"/>
    <x v="17"/>
    <n v="0"/>
  </r>
  <r>
    <s v="Black Forest"/>
    <x v="0"/>
    <x v="2"/>
    <n v="150"/>
    <n v="250"/>
    <n v="3"/>
    <n v="2"/>
    <n v="1"/>
    <x v="19"/>
    <x v="0"/>
    <x v="26"/>
    <n v="100"/>
  </r>
  <r>
    <s v="Butter Scotch"/>
    <x v="0"/>
    <x v="3"/>
    <n v="100"/>
    <n v="200"/>
    <n v="2"/>
    <n v="1"/>
    <n v="1"/>
    <x v="19"/>
    <x v="0"/>
    <x v="19"/>
    <n v="100"/>
  </r>
  <r>
    <s v="Pineapple"/>
    <x v="1"/>
    <x v="4"/>
    <n v="250"/>
    <n v="350"/>
    <n v="2"/>
    <n v="2"/>
    <n v="0"/>
    <x v="19"/>
    <x v="0"/>
    <x v="17"/>
    <n v="0"/>
  </r>
  <r>
    <s v="Chocolate Truffle"/>
    <x v="1"/>
    <x v="5"/>
    <n v="300"/>
    <n v="400"/>
    <n v="1"/>
    <n v="1"/>
    <n v="0"/>
    <x v="19"/>
    <x v="0"/>
    <x v="17"/>
    <n v="0"/>
  </r>
  <r>
    <s v="Black Forest"/>
    <x v="1"/>
    <x v="6"/>
    <n v="250"/>
    <n v="350"/>
    <n v="0"/>
    <n v="0"/>
    <n v="0"/>
    <x v="19"/>
    <x v="0"/>
    <x v="17"/>
    <n v="0"/>
  </r>
  <r>
    <s v="Butter Scotch"/>
    <x v="1"/>
    <x v="7"/>
    <n v="250"/>
    <n v="350"/>
    <n v="2"/>
    <n v="2"/>
    <n v="0"/>
    <x v="19"/>
    <x v="0"/>
    <x v="17"/>
    <n v="0"/>
  </r>
  <r>
    <s v="Chocochip"/>
    <x v="1"/>
    <x v="8"/>
    <n v="300"/>
    <n v="450"/>
    <n v="0"/>
    <n v="0"/>
    <n v="0"/>
    <x v="19"/>
    <x v="0"/>
    <x v="17"/>
    <n v="0"/>
  </r>
  <r>
    <s v="Fruit Cake(400gram)"/>
    <x v="2"/>
    <x v="9"/>
    <n v="320"/>
    <n v="400"/>
    <n v="0"/>
    <n v="0"/>
    <n v="0"/>
    <x v="19"/>
    <x v="0"/>
    <x v="17"/>
    <n v="0"/>
  </r>
  <r>
    <s v="Fruit Cake(200gram)"/>
    <x v="2"/>
    <x v="10"/>
    <n v="100"/>
    <n v="150"/>
    <n v="3"/>
    <n v="3"/>
    <n v="0"/>
    <x v="19"/>
    <x v="0"/>
    <x v="17"/>
    <n v="0"/>
  </r>
  <r>
    <s v="Pineapple"/>
    <x v="3"/>
    <x v="11"/>
    <n v="25"/>
    <n v="40"/>
    <n v="11"/>
    <n v="11"/>
    <n v="0"/>
    <x v="19"/>
    <x v="0"/>
    <x v="17"/>
    <n v="0"/>
  </r>
  <r>
    <s v="Chocolate Truffle"/>
    <x v="3"/>
    <x v="12"/>
    <n v="30"/>
    <n v="50"/>
    <n v="11"/>
    <n v="11"/>
    <n v="0"/>
    <x v="19"/>
    <x v="0"/>
    <x v="17"/>
    <n v="0"/>
  </r>
  <r>
    <s v="Butter Scotch"/>
    <x v="3"/>
    <x v="13"/>
    <n v="25"/>
    <n v="40"/>
    <n v="10"/>
    <n v="8"/>
    <n v="2"/>
    <x v="19"/>
    <x v="0"/>
    <x v="44"/>
    <n v="30"/>
  </r>
  <r>
    <s v="Black Forest"/>
    <x v="3"/>
    <x v="14"/>
    <n v="25"/>
    <n v="40"/>
    <n v="2"/>
    <n v="2"/>
    <n v="0"/>
    <x v="19"/>
    <x v="0"/>
    <x v="17"/>
    <n v="0"/>
  </r>
  <r>
    <s v="Chocochip"/>
    <x v="3"/>
    <x v="15"/>
    <n v="30"/>
    <n v="55"/>
    <n v="6"/>
    <n v="4"/>
    <n v="2"/>
    <x v="19"/>
    <x v="0"/>
    <x v="55"/>
    <n v="50"/>
  </r>
  <r>
    <s v="Bonfire"/>
    <x v="3"/>
    <x v="16"/>
    <n v="40"/>
    <n v="65"/>
    <n v="5"/>
    <n v="4"/>
    <n v="1"/>
    <x v="19"/>
    <x v="0"/>
    <x v="71"/>
    <n v="25"/>
  </r>
  <r>
    <s v="Choco Lava"/>
    <x v="3"/>
    <x v="17"/>
    <n v="50"/>
    <n v="70"/>
    <n v="0"/>
    <n v="0"/>
    <n v="0"/>
    <x v="19"/>
    <x v="0"/>
    <x v="17"/>
    <n v="0"/>
  </r>
  <r>
    <s v="Cupcakes"/>
    <x v="3"/>
    <x v="18"/>
    <n v="20"/>
    <n v="30"/>
    <n v="13"/>
    <n v="13"/>
    <n v="0"/>
    <x v="19"/>
    <x v="0"/>
    <x v="17"/>
    <n v="0"/>
  </r>
  <r>
    <s v="Muffins"/>
    <x v="3"/>
    <x v="19"/>
    <n v="10"/>
    <n v="20"/>
    <n v="8"/>
    <n v="8"/>
    <n v="0"/>
    <x v="19"/>
    <x v="0"/>
    <x v="17"/>
    <n v="0"/>
  </r>
  <r>
    <s v="Jar Cakes"/>
    <x v="3"/>
    <x v="20"/>
    <n v="60"/>
    <n v="100"/>
    <n v="4"/>
    <n v="3"/>
    <n v="1"/>
    <x v="19"/>
    <x v="0"/>
    <x v="33"/>
    <n v="40"/>
  </r>
  <r>
    <s v="Paneer Sandwich"/>
    <x v="4"/>
    <x v="21"/>
    <n v="50"/>
    <n v="70"/>
    <n v="2"/>
    <n v="2"/>
    <n v="0"/>
    <x v="19"/>
    <x v="0"/>
    <x v="17"/>
    <n v="0"/>
  </r>
  <r>
    <s v="Hotdog"/>
    <x v="4"/>
    <x v="22"/>
    <n v="45"/>
    <n v="65"/>
    <n v="0"/>
    <n v="0"/>
    <n v="0"/>
    <x v="19"/>
    <x v="0"/>
    <x v="17"/>
    <n v="0"/>
  </r>
  <r>
    <s v="Paneer Roll"/>
    <x v="4"/>
    <x v="23"/>
    <n v="50"/>
    <n v="70"/>
    <n v="0"/>
    <n v="0"/>
    <n v="0"/>
    <x v="19"/>
    <x v="0"/>
    <x v="17"/>
    <n v="0"/>
  </r>
  <r>
    <s v="Aloo Patiz"/>
    <x v="4"/>
    <x v="24"/>
    <n v="10"/>
    <n v="15"/>
    <n v="8"/>
    <n v="8"/>
    <n v="0"/>
    <x v="19"/>
    <x v="0"/>
    <x v="17"/>
    <n v="0"/>
  </r>
  <r>
    <s v="Paneer Patiz"/>
    <x v="4"/>
    <x v="25"/>
    <n v="20"/>
    <n v="25"/>
    <n v="9"/>
    <n v="7"/>
    <n v="2"/>
    <x v="19"/>
    <x v="0"/>
    <x v="41"/>
    <n v="10"/>
  </r>
  <r>
    <s v="Pao"/>
    <x v="5"/>
    <x v="26"/>
    <n v="25"/>
    <n v="30"/>
    <n v="8"/>
    <n v="8"/>
    <n v="0"/>
    <x v="19"/>
    <x v="0"/>
    <x v="17"/>
    <n v="0"/>
  </r>
  <r>
    <s v="Burger Buns"/>
    <x v="5"/>
    <x v="27"/>
    <n v="25"/>
    <n v="30"/>
    <n v="6"/>
    <n v="6"/>
    <n v="0"/>
    <x v="19"/>
    <x v="0"/>
    <x v="17"/>
    <n v="0"/>
  </r>
  <r>
    <s v="Pizza Base"/>
    <x v="5"/>
    <x v="28"/>
    <n v="25"/>
    <n v="30"/>
    <n v="4"/>
    <n v="4"/>
    <n v="0"/>
    <x v="19"/>
    <x v="0"/>
    <x v="17"/>
    <n v="0"/>
  </r>
  <r>
    <s v="Brown Bread"/>
    <x v="5"/>
    <x v="29"/>
    <n v="30"/>
    <n v="35"/>
    <n v="8"/>
    <n v="5"/>
    <n v="3"/>
    <x v="19"/>
    <x v="0"/>
    <x v="45"/>
    <n v="15"/>
  </r>
  <r>
    <s v="Pineapple"/>
    <x v="0"/>
    <x v="0"/>
    <n v="100"/>
    <n v="200"/>
    <n v="4"/>
    <n v="1"/>
    <n v="3"/>
    <x v="20"/>
    <x v="1"/>
    <x v="3"/>
    <n v="300"/>
  </r>
  <r>
    <s v="Chocolate Truffle"/>
    <x v="0"/>
    <x v="1"/>
    <n v="200"/>
    <n v="300"/>
    <n v="2"/>
    <n v="1"/>
    <n v="1"/>
    <x v="20"/>
    <x v="1"/>
    <x v="62"/>
    <n v="100"/>
  </r>
  <r>
    <s v="Black Forest"/>
    <x v="0"/>
    <x v="2"/>
    <n v="150"/>
    <n v="250"/>
    <n v="2"/>
    <n v="1"/>
    <n v="1"/>
    <x v="20"/>
    <x v="1"/>
    <x v="26"/>
    <n v="100"/>
  </r>
  <r>
    <s v="Butter Scotch"/>
    <x v="0"/>
    <x v="3"/>
    <n v="100"/>
    <n v="200"/>
    <n v="1"/>
    <n v="1"/>
    <n v="0"/>
    <x v="20"/>
    <x v="1"/>
    <x v="17"/>
    <n v="0"/>
  </r>
  <r>
    <s v="Pineapple"/>
    <x v="1"/>
    <x v="4"/>
    <n v="250"/>
    <n v="350"/>
    <n v="2"/>
    <n v="1"/>
    <n v="1"/>
    <x v="20"/>
    <x v="1"/>
    <x v="7"/>
    <n v="100"/>
  </r>
  <r>
    <s v="Chocolate Truffle"/>
    <x v="1"/>
    <x v="5"/>
    <n v="300"/>
    <n v="400"/>
    <n v="1"/>
    <n v="0"/>
    <n v="1"/>
    <x v="20"/>
    <x v="1"/>
    <x v="0"/>
    <n v="100"/>
  </r>
  <r>
    <s v="Black Forest"/>
    <x v="1"/>
    <x v="6"/>
    <n v="250"/>
    <n v="350"/>
    <n v="2"/>
    <n v="2"/>
    <n v="0"/>
    <x v="20"/>
    <x v="1"/>
    <x v="17"/>
    <n v="0"/>
  </r>
  <r>
    <s v="Butter Scotch"/>
    <x v="1"/>
    <x v="7"/>
    <n v="250"/>
    <n v="350"/>
    <n v="2"/>
    <n v="1"/>
    <n v="1"/>
    <x v="20"/>
    <x v="1"/>
    <x v="7"/>
    <n v="100"/>
  </r>
  <r>
    <s v="Chocochip"/>
    <x v="1"/>
    <x v="8"/>
    <n v="300"/>
    <n v="450"/>
    <n v="0"/>
    <n v="0"/>
    <n v="0"/>
    <x v="20"/>
    <x v="1"/>
    <x v="17"/>
    <n v="0"/>
  </r>
  <r>
    <s v="Fruit Cake(400gram)"/>
    <x v="2"/>
    <x v="9"/>
    <n v="320"/>
    <n v="400"/>
    <n v="0"/>
    <n v="0"/>
    <n v="0"/>
    <x v="20"/>
    <x v="1"/>
    <x v="17"/>
    <n v="0"/>
  </r>
  <r>
    <s v="Fruit Cake(200gram)"/>
    <x v="2"/>
    <x v="10"/>
    <n v="100"/>
    <n v="150"/>
    <n v="3"/>
    <n v="3"/>
    <n v="0"/>
    <x v="20"/>
    <x v="1"/>
    <x v="17"/>
    <n v="0"/>
  </r>
  <r>
    <s v="Pineapple"/>
    <x v="3"/>
    <x v="11"/>
    <n v="25"/>
    <n v="40"/>
    <n v="11"/>
    <n v="3"/>
    <n v="8"/>
    <x v="20"/>
    <x v="1"/>
    <x v="48"/>
    <n v="120"/>
  </r>
  <r>
    <s v="Chocolate Truffle"/>
    <x v="3"/>
    <x v="12"/>
    <n v="30"/>
    <n v="50"/>
    <n v="11"/>
    <n v="5"/>
    <n v="6"/>
    <x v="20"/>
    <x v="1"/>
    <x v="62"/>
    <n v="120"/>
  </r>
  <r>
    <s v="Butter Scotch"/>
    <x v="3"/>
    <x v="13"/>
    <n v="25"/>
    <n v="40"/>
    <n v="8"/>
    <n v="4"/>
    <n v="4"/>
    <x v="20"/>
    <x v="1"/>
    <x v="63"/>
    <n v="60"/>
  </r>
  <r>
    <s v="Black Forest"/>
    <x v="3"/>
    <x v="14"/>
    <n v="25"/>
    <n v="40"/>
    <n v="2"/>
    <n v="0"/>
    <n v="2"/>
    <x v="20"/>
    <x v="1"/>
    <x v="44"/>
    <n v="30"/>
  </r>
  <r>
    <s v="Chocochip"/>
    <x v="3"/>
    <x v="15"/>
    <n v="30"/>
    <n v="55"/>
    <n v="4"/>
    <n v="4"/>
    <n v="0"/>
    <x v="20"/>
    <x v="1"/>
    <x v="17"/>
    <n v="0"/>
  </r>
  <r>
    <s v="Bonfire"/>
    <x v="3"/>
    <x v="16"/>
    <n v="40"/>
    <n v="65"/>
    <n v="4"/>
    <n v="2"/>
    <n v="2"/>
    <x v="20"/>
    <x v="1"/>
    <x v="37"/>
    <n v="50"/>
  </r>
  <r>
    <s v="Choco Lava"/>
    <x v="3"/>
    <x v="17"/>
    <n v="50"/>
    <n v="70"/>
    <n v="0"/>
    <n v="0"/>
    <n v="0"/>
    <x v="20"/>
    <x v="1"/>
    <x v="17"/>
    <n v="0"/>
  </r>
  <r>
    <s v="Cupcakes"/>
    <x v="3"/>
    <x v="18"/>
    <n v="20"/>
    <n v="30"/>
    <n v="13"/>
    <n v="11"/>
    <n v="2"/>
    <x v="20"/>
    <x v="1"/>
    <x v="42"/>
    <n v="20"/>
  </r>
  <r>
    <s v="Muffins"/>
    <x v="3"/>
    <x v="19"/>
    <n v="10"/>
    <n v="20"/>
    <n v="8"/>
    <n v="7"/>
    <n v="1"/>
    <x v="20"/>
    <x v="1"/>
    <x v="80"/>
    <n v="10"/>
  </r>
  <r>
    <s v="Jar Cakes"/>
    <x v="3"/>
    <x v="20"/>
    <n v="60"/>
    <n v="100"/>
    <n v="3"/>
    <n v="3"/>
    <n v="0"/>
    <x v="20"/>
    <x v="1"/>
    <x v="17"/>
    <n v="0"/>
  </r>
  <r>
    <s v="Paneer Sandwich"/>
    <x v="4"/>
    <x v="21"/>
    <n v="50"/>
    <n v="70"/>
    <n v="2"/>
    <n v="2"/>
    <n v="0"/>
    <x v="20"/>
    <x v="1"/>
    <x v="17"/>
    <n v="0"/>
  </r>
  <r>
    <s v="Hotdog"/>
    <x v="4"/>
    <x v="22"/>
    <n v="45"/>
    <n v="65"/>
    <n v="0"/>
    <n v="0"/>
    <n v="0"/>
    <x v="20"/>
    <x v="1"/>
    <x v="17"/>
    <n v="0"/>
  </r>
  <r>
    <s v="Paneer Roll"/>
    <x v="4"/>
    <x v="23"/>
    <n v="50"/>
    <n v="70"/>
    <n v="0"/>
    <n v="0"/>
    <n v="0"/>
    <x v="20"/>
    <x v="1"/>
    <x v="17"/>
    <n v="0"/>
  </r>
  <r>
    <s v="Aloo Patiz"/>
    <x v="4"/>
    <x v="24"/>
    <n v="10"/>
    <n v="15"/>
    <n v="6"/>
    <n v="0"/>
    <n v="6"/>
    <x v="20"/>
    <x v="1"/>
    <x v="38"/>
    <n v="30"/>
  </r>
  <r>
    <s v="Paneer Patiz"/>
    <x v="4"/>
    <x v="25"/>
    <n v="20"/>
    <n v="25"/>
    <n v="7"/>
    <n v="6"/>
    <n v="1"/>
    <x v="20"/>
    <x v="1"/>
    <x v="39"/>
    <n v="5"/>
  </r>
  <r>
    <s v="Pao"/>
    <x v="5"/>
    <x v="26"/>
    <n v="25"/>
    <n v="30"/>
    <n v="8"/>
    <n v="7"/>
    <n v="1"/>
    <x v="20"/>
    <x v="1"/>
    <x v="32"/>
    <n v="5"/>
  </r>
  <r>
    <s v="Burger Buns"/>
    <x v="5"/>
    <x v="27"/>
    <n v="25"/>
    <n v="30"/>
    <n v="6"/>
    <n v="3"/>
    <n v="3"/>
    <x v="20"/>
    <x v="1"/>
    <x v="38"/>
    <n v="15"/>
  </r>
  <r>
    <s v="Pizza Base"/>
    <x v="5"/>
    <x v="28"/>
    <n v="25"/>
    <n v="30"/>
    <n v="4"/>
    <n v="3"/>
    <n v="1"/>
    <x v="20"/>
    <x v="1"/>
    <x v="32"/>
    <n v="5"/>
  </r>
  <r>
    <s v="Brown Bread"/>
    <x v="5"/>
    <x v="29"/>
    <n v="30"/>
    <n v="35"/>
    <n v="5"/>
    <n v="3"/>
    <n v="2"/>
    <x v="20"/>
    <x v="1"/>
    <x v="20"/>
    <n v="10"/>
  </r>
  <r>
    <s v="Pineapple"/>
    <x v="0"/>
    <x v="0"/>
    <n v="100"/>
    <n v="200"/>
    <n v="3"/>
    <n v="2"/>
    <n v="1"/>
    <x v="21"/>
    <x v="3"/>
    <x v="19"/>
    <n v="100"/>
  </r>
  <r>
    <s v="Chocolate Truffle"/>
    <x v="0"/>
    <x v="1"/>
    <n v="200"/>
    <n v="300"/>
    <n v="3"/>
    <n v="1"/>
    <n v="2"/>
    <x v="21"/>
    <x v="3"/>
    <x v="3"/>
    <n v="200"/>
  </r>
  <r>
    <s v="Black Forest"/>
    <x v="0"/>
    <x v="2"/>
    <n v="150"/>
    <n v="250"/>
    <n v="3"/>
    <n v="1"/>
    <n v="2"/>
    <x v="21"/>
    <x v="3"/>
    <x v="12"/>
    <n v="200"/>
  </r>
  <r>
    <s v="Butter Scotch"/>
    <x v="0"/>
    <x v="3"/>
    <n v="100"/>
    <n v="200"/>
    <n v="3"/>
    <n v="2"/>
    <n v="1"/>
    <x v="21"/>
    <x v="3"/>
    <x v="19"/>
    <n v="100"/>
  </r>
  <r>
    <s v="Pineapple"/>
    <x v="1"/>
    <x v="4"/>
    <n v="250"/>
    <n v="350"/>
    <n v="2"/>
    <n v="1"/>
    <n v="1"/>
    <x v="21"/>
    <x v="3"/>
    <x v="7"/>
    <n v="100"/>
  </r>
  <r>
    <s v="Chocolate Truffle"/>
    <x v="1"/>
    <x v="5"/>
    <n v="300"/>
    <n v="400"/>
    <n v="1"/>
    <n v="1"/>
    <n v="0"/>
    <x v="21"/>
    <x v="3"/>
    <x v="17"/>
    <n v="0"/>
  </r>
  <r>
    <s v="Black Forest"/>
    <x v="1"/>
    <x v="6"/>
    <n v="250"/>
    <n v="350"/>
    <n v="2"/>
    <n v="2"/>
    <n v="0"/>
    <x v="21"/>
    <x v="3"/>
    <x v="17"/>
    <n v="0"/>
  </r>
  <r>
    <s v="Butter Scotch"/>
    <x v="1"/>
    <x v="7"/>
    <n v="250"/>
    <n v="350"/>
    <n v="2"/>
    <n v="1"/>
    <n v="1"/>
    <x v="21"/>
    <x v="3"/>
    <x v="7"/>
    <n v="100"/>
  </r>
  <r>
    <s v="Chocochip"/>
    <x v="1"/>
    <x v="8"/>
    <n v="300"/>
    <n v="450"/>
    <n v="1"/>
    <n v="1"/>
    <n v="0"/>
    <x v="21"/>
    <x v="3"/>
    <x v="17"/>
    <n v="0"/>
  </r>
  <r>
    <s v="Fruit Cake(400gram)"/>
    <x v="2"/>
    <x v="9"/>
    <n v="320"/>
    <n v="400"/>
    <n v="0"/>
    <n v="0"/>
    <n v="0"/>
    <x v="21"/>
    <x v="3"/>
    <x v="17"/>
    <n v="0"/>
  </r>
  <r>
    <s v="Fruit Cake(200gram)"/>
    <x v="2"/>
    <x v="10"/>
    <n v="100"/>
    <n v="150"/>
    <n v="3"/>
    <n v="3"/>
    <n v="0"/>
    <x v="21"/>
    <x v="3"/>
    <x v="17"/>
    <n v="0"/>
  </r>
  <r>
    <s v="Pineapple"/>
    <x v="3"/>
    <x v="11"/>
    <n v="25"/>
    <n v="40"/>
    <n v="13"/>
    <n v="13"/>
    <n v="0"/>
    <x v="21"/>
    <x v="3"/>
    <x v="17"/>
    <n v="0"/>
  </r>
  <r>
    <s v="Chocolate Truffle"/>
    <x v="3"/>
    <x v="12"/>
    <n v="30"/>
    <n v="50"/>
    <n v="15"/>
    <n v="12"/>
    <n v="3"/>
    <x v="21"/>
    <x v="3"/>
    <x v="22"/>
    <n v="60"/>
  </r>
  <r>
    <s v="Butter Scotch"/>
    <x v="3"/>
    <x v="13"/>
    <n v="25"/>
    <n v="40"/>
    <n v="14"/>
    <n v="14"/>
    <n v="0"/>
    <x v="21"/>
    <x v="3"/>
    <x v="17"/>
    <n v="0"/>
  </r>
  <r>
    <s v="Black Forest"/>
    <x v="3"/>
    <x v="14"/>
    <n v="25"/>
    <n v="40"/>
    <n v="10"/>
    <n v="10"/>
    <n v="0"/>
    <x v="21"/>
    <x v="3"/>
    <x v="17"/>
    <n v="0"/>
  </r>
  <r>
    <s v="Chocochip"/>
    <x v="3"/>
    <x v="15"/>
    <n v="30"/>
    <n v="55"/>
    <n v="4"/>
    <n v="3"/>
    <n v="1"/>
    <x v="21"/>
    <x v="3"/>
    <x v="30"/>
    <n v="25"/>
  </r>
  <r>
    <s v="Bonfire"/>
    <x v="3"/>
    <x v="16"/>
    <n v="40"/>
    <n v="65"/>
    <n v="22"/>
    <n v="22"/>
    <n v="0"/>
    <x v="21"/>
    <x v="3"/>
    <x v="17"/>
    <n v="0"/>
  </r>
  <r>
    <s v="Choco Lava"/>
    <x v="3"/>
    <x v="17"/>
    <n v="50"/>
    <n v="70"/>
    <n v="0"/>
    <n v="0"/>
    <n v="0"/>
    <x v="21"/>
    <x v="3"/>
    <x v="17"/>
    <n v="0"/>
  </r>
  <r>
    <s v="Cupcakes"/>
    <x v="3"/>
    <x v="18"/>
    <n v="20"/>
    <n v="30"/>
    <n v="11"/>
    <n v="11"/>
    <n v="0"/>
    <x v="21"/>
    <x v="3"/>
    <x v="17"/>
    <n v="0"/>
  </r>
  <r>
    <s v="Muffins"/>
    <x v="3"/>
    <x v="19"/>
    <n v="10"/>
    <n v="20"/>
    <n v="7"/>
    <n v="7"/>
    <n v="0"/>
    <x v="21"/>
    <x v="3"/>
    <x v="17"/>
    <n v="0"/>
  </r>
  <r>
    <s v="Jar Cakes"/>
    <x v="3"/>
    <x v="20"/>
    <n v="60"/>
    <n v="100"/>
    <n v="3"/>
    <n v="3"/>
    <n v="0"/>
    <x v="21"/>
    <x v="3"/>
    <x v="17"/>
    <n v="0"/>
  </r>
  <r>
    <s v="Paneer Sandwich"/>
    <x v="4"/>
    <x v="21"/>
    <n v="50"/>
    <n v="70"/>
    <n v="4"/>
    <n v="4"/>
    <n v="0"/>
    <x v="21"/>
    <x v="3"/>
    <x v="17"/>
    <n v="0"/>
  </r>
  <r>
    <s v="Hotdog"/>
    <x v="4"/>
    <x v="22"/>
    <n v="45"/>
    <n v="65"/>
    <n v="0"/>
    <n v="0"/>
    <n v="0"/>
    <x v="21"/>
    <x v="3"/>
    <x v="17"/>
    <n v="0"/>
  </r>
  <r>
    <s v="Paneer Roll"/>
    <x v="4"/>
    <x v="23"/>
    <n v="50"/>
    <n v="70"/>
    <n v="0"/>
    <n v="0"/>
    <n v="0"/>
    <x v="21"/>
    <x v="3"/>
    <x v="17"/>
    <n v="0"/>
  </r>
  <r>
    <s v="Aloo Patiz"/>
    <x v="4"/>
    <x v="24"/>
    <n v="10"/>
    <n v="15"/>
    <n v="9"/>
    <n v="4"/>
    <n v="5"/>
    <x v="21"/>
    <x v="3"/>
    <x v="49"/>
    <n v="25"/>
  </r>
  <r>
    <s v="Paneer Patiz"/>
    <x v="4"/>
    <x v="25"/>
    <n v="20"/>
    <n v="25"/>
    <n v="11"/>
    <n v="11"/>
    <n v="0"/>
    <x v="21"/>
    <x v="3"/>
    <x v="17"/>
    <n v="0"/>
  </r>
  <r>
    <s v="Pao"/>
    <x v="5"/>
    <x v="26"/>
    <n v="25"/>
    <n v="30"/>
    <n v="17"/>
    <n v="10"/>
    <n v="7"/>
    <x v="21"/>
    <x v="3"/>
    <x v="24"/>
    <n v="35"/>
  </r>
  <r>
    <s v="Burger Buns"/>
    <x v="5"/>
    <x v="27"/>
    <n v="25"/>
    <n v="30"/>
    <n v="3"/>
    <n v="1"/>
    <n v="2"/>
    <x v="21"/>
    <x v="3"/>
    <x v="42"/>
    <n v="10"/>
  </r>
  <r>
    <s v="Pizza Base"/>
    <x v="5"/>
    <x v="28"/>
    <n v="25"/>
    <n v="30"/>
    <n v="8"/>
    <n v="1"/>
    <n v="7"/>
    <x v="21"/>
    <x v="3"/>
    <x v="24"/>
    <n v="35"/>
  </r>
  <r>
    <s v="Brown Bread"/>
    <x v="5"/>
    <x v="29"/>
    <n v="30"/>
    <n v="35"/>
    <n v="13"/>
    <n v="10"/>
    <n v="3"/>
    <x v="21"/>
    <x v="3"/>
    <x v="45"/>
    <n v="15"/>
  </r>
  <r>
    <s v="Pineapple"/>
    <x v="0"/>
    <x v="0"/>
    <n v="100"/>
    <n v="200"/>
    <n v="3"/>
    <n v="3"/>
    <n v="0"/>
    <x v="22"/>
    <x v="4"/>
    <x v="17"/>
    <n v="0"/>
  </r>
  <r>
    <s v="Chocolate Truffle"/>
    <x v="0"/>
    <x v="1"/>
    <n v="200"/>
    <n v="300"/>
    <n v="3"/>
    <n v="3"/>
    <n v="0"/>
    <x v="22"/>
    <x v="4"/>
    <x v="17"/>
    <n v="0"/>
  </r>
  <r>
    <s v="Black Forest"/>
    <x v="0"/>
    <x v="2"/>
    <n v="150"/>
    <n v="250"/>
    <n v="3"/>
    <n v="2"/>
    <n v="1"/>
    <x v="22"/>
    <x v="4"/>
    <x v="26"/>
    <n v="100"/>
  </r>
  <r>
    <s v="Butter Scotch"/>
    <x v="0"/>
    <x v="3"/>
    <n v="100"/>
    <n v="200"/>
    <n v="2"/>
    <n v="0"/>
    <n v="2"/>
    <x v="22"/>
    <x v="4"/>
    <x v="0"/>
    <n v="200"/>
  </r>
  <r>
    <s v="Pineapple"/>
    <x v="1"/>
    <x v="4"/>
    <n v="250"/>
    <n v="350"/>
    <n v="3"/>
    <n v="3"/>
    <n v="0"/>
    <x v="22"/>
    <x v="4"/>
    <x v="17"/>
    <n v="0"/>
  </r>
  <r>
    <s v="Chocolate Truffle"/>
    <x v="1"/>
    <x v="5"/>
    <n v="300"/>
    <n v="400"/>
    <n v="1"/>
    <n v="0"/>
    <n v="1"/>
    <x v="22"/>
    <x v="4"/>
    <x v="0"/>
    <n v="100"/>
  </r>
  <r>
    <s v="Black Forest"/>
    <x v="1"/>
    <x v="6"/>
    <n v="250"/>
    <n v="350"/>
    <n v="3"/>
    <n v="2"/>
    <n v="1"/>
    <x v="22"/>
    <x v="4"/>
    <x v="7"/>
    <n v="100"/>
  </r>
  <r>
    <s v="Butter Scotch"/>
    <x v="1"/>
    <x v="7"/>
    <n v="250"/>
    <n v="350"/>
    <n v="2"/>
    <n v="2"/>
    <n v="0"/>
    <x v="22"/>
    <x v="4"/>
    <x v="17"/>
    <n v="0"/>
  </r>
  <r>
    <s v="Chocochip"/>
    <x v="1"/>
    <x v="8"/>
    <n v="300"/>
    <n v="450"/>
    <n v="1"/>
    <n v="1"/>
    <n v="0"/>
    <x v="22"/>
    <x v="4"/>
    <x v="17"/>
    <n v="0"/>
  </r>
  <r>
    <s v="Fruit Cake(400gram)"/>
    <x v="2"/>
    <x v="9"/>
    <n v="320"/>
    <n v="400"/>
    <n v="0"/>
    <n v="0"/>
    <n v="0"/>
    <x v="22"/>
    <x v="4"/>
    <x v="17"/>
    <n v="0"/>
  </r>
  <r>
    <s v="Fruit Cake(200gram)"/>
    <x v="2"/>
    <x v="10"/>
    <n v="100"/>
    <n v="150"/>
    <n v="3"/>
    <n v="3"/>
    <n v="0"/>
    <x v="22"/>
    <x v="4"/>
    <x v="17"/>
    <n v="0"/>
  </r>
  <r>
    <s v="Pineapple"/>
    <x v="3"/>
    <x v="11"/>
    <n v="25"/>
    <n v="40"/>
    <n v="13"/>
    <n v="6"/>
    <n v="7"/>
    <x v="22"/>
    <x v="4"/>
    <x v="29"/>
    <n v="105"/>
  </r>
  <r>
    <s v="Chocolate Truffle"/>
    <x v="3"/>
    <x v="12"/>
    <n v="30"/>
    <n v="50"/>
    <n v="12"/>
    <n v="11"/>
    <n v="1"/>
    <x v="22"/>
    <x v="4"/>
    <x v="41"/>
    <n v="20"/>
  </r>
  <r>
    <s v="Butter Scotch"/>
    <x v="3"/>
    <x v="13"/>
    <n v="25"/>
    <n v="40"/>
    <n v="14"/>
    <n v="13"/>
    <n v="1"/>
    <x v="22"/>
    <x v="4"/>
    <x v="35"/>
    <n v="15"/>
  </r>
  <r>
    <s v="Black Forest"/>
    <x v="3"/>
    <x v="14"/>
    <n v="25"/>
    <n v="40"/>
    <n v="10"/>
    <n v="1"/>
    <n v="9"/>
    <x v="22"/>
    <x v="4"/>
    <x v="23"/>
    <n v="135"/>
  </r>
  <r>
    <s v="Chocochip"/>
    <x v="3"/>
    <x v="15"/>
    <n v="30"/>
    <n v="55"/>
    <n v="3"/>
    <n v="1"/>
    <n v="2"/>
    <x v="22"/>
    <x v="4"/>
    <x v="55"/>
    <n v="50"/>
  </r>
  <r>
    <s v="Bonfire"/>
    <x v="3"/>
    <x v="16"/>
    <n v="40"/>
    <n v="65"/>
    <n v="22"/>
    <n v="11"/>
    <n v="11"/>
    <x v="22"/>
    <x v="4"/>
    <x v="67"/>
    <n v="275"/>
  </r>
  <r>
    <s v="Choco Lava"/>
    <x v="3"/>
    <x v="17"/>
    <n v="50"/>
    <n v="70"/>
    <n v="0"/>
    <n v="0"/>
    <n v="0"/>
    <x v="22"/>
    <x v="4"/>
    <x v="17"/>
    <n v="0"/>
  </r>
  <r>
    <s v="Cupcakes"/>
    <x v="3"/>
    <x v="18"/>
    <n v="20"/>
    <n v="30"/>
    <n v="11"/>
    <n v="11"/>
    <n v="0"/>
    <x v="22"/>
    <x v="4"/>
    <x v="17"/>
    <n v="0"/>
  </r>
  <r>
    <s v="Muffins"/>
    <x v="3"/>
    <x v="19"/>
    <n v="10"/>
    <n v="20"/>
    <n v="7"/>
    <n v="7"/>
    <n v="0"/>
    <x v="22"/>
    <x v="4"/>
    <x v="17"/>
    <n v="0"/>
  </r>
  <r>
    <s v="Jar Cakes"/>
    <x v="3"/>
    <x v="20"/>
    <n v="60"/>
    <n v="100"/>
    <n v="3"/>
    <n v="3"/>
    <n v="0"/>
    <x v="22"/>
    <x v="4"/>
    <x v="17"/>
    <n v="0"/>
  </r>
  <r>
    <s v="Paneer Sandwich"/>
    <x v="4"/>
    <x v="21"/>
    <n v="50"/>
    <n v="70"/>
    <n v="4"/>
    <n v="3"/>
    <n v="1"/>
    <x v="22"/>
    <x v="4"/>
    <x v="20"/>
    <n v="20"/>
  </r>
  <r>
    <s v="Hotdog"/>
    <x v="4"/>
    <x v="22"/>
    <n v="45"/>
    <n v="65"/>
    <n v="0"/>
    <n v="0"/>
    <n v="0"/>
    <x v="22"/>
    <x v="4"/>
    <x v="17"/>
    <n v="0"/>
  </r>
  <r>
    <s v="Paneer Roll"/>
    <x v="4"/>
    <x v="23"/>
    <n v="50"/>
    <n v="70"/>
    <n v="0"/>
    <n v="0"/>
    <n v="0"/>
    <x v="22"/>
    <x v="4"/>
    <x v="17"/>
    <n v="0"/>
  </r>
  <r>
    <s v="Aloo Patiz"/>
    <x v="4"/>
    <x v="24"/>
    <n v="10"/>
    <n v="15"/>
    <n v="4"/>
    <n v="1"/>
    <n v="3"/>
    <x v="22"/>
    <x v="4"/>
    <x v="61"/>
    <n v="15"/>
  </r>
  <r>
    <s v="Paneer Patiz"/>
    <x v="4"/>
    <x v="25"/>
    <n v="20"/>
    <n v="25"/>
    <n v="11"/>
    <n v="5"/>
    <n v="6"/>
    <x v="22"/>
    <x v="4"/>
    <x v="22"/>
    <n v="30"/>
  </r>
  <r>
    <s v="Pao"/>
    <x v="5"/>
    <x v="26"/>
    <n v="25"/>
    <n v="30"/>
    <n v="10"/>
    <n v="8"/>
    <n v="2"/>
    <x v="22"/>
    <x v="4"/>
    <x v="42"/>
    <n v="10"/>
  </r>
  <r>
    <s v="Burger Buns"/>
    <x v="5"/>
    <x v="27"/>
    <n v="25"/>
    <n v="30"/>
    <n v="6"/>
    <n v="6"/>
    <n v="0"/>
    <x v="22"/>
    <x v="4"/>
    <x v="17"/>
    <n v="0"/>
  </r>
  <r>
    <s v="Pizza Base"/>
    <x v="5"/>
    <x v="28"/>
    <n v="25"/>
    <n v="30"/>
    <n v="6"/>
    <n v="5"/>
    <n v="1"/>
    <x v="22"/>
    <x v="4"/>
    <x v="32"/>
    <n v="5"/>
  </r>
  <r>
    <s v="Brown Bread"/>
    <x v="5"/>
    <x v="29"/>
    <n v="30"/>
    <n v="35"/>
    <n v="10"/>
    <n v="5"/>
    <n v="5"/>
    <x v="22"/>
    <x v="4"/>
    <x v="64"/>
    <n v="25"/>
  </r>
  <r>
    <s v="Pineapple"/>
    <x v="0"/>
    <x v="0"/>
    <n v="100"/>
    <n v="200"/>
    <n v="4"/>
    <n v="1"/>
    <n v="3"/>
    <x v="23"/>
    <x v="5"/>
    <x v="3"/>
    <n v="300"/>
  </r>
  <r>
    <s v="Chocolate Truffle"/>
    <x v="0"/>
    <x v="1"/>
    <n v="200"/>
    <n v="300"/>
    <n v="4"/>
    <n v="4"/>
    <n v="0"/>
    <x v="23"/>
    <x v="5"/>
    <x v="17"/>
    <n v="0"/>
  </r>
  <r>
    <s v="Black Forest"/>
    <x v="0"/>
    <x v="2"/>
    <n v="150"/>
    <n v="250"/>
    <n v="3"/>
    <n v="3"/>
    <n v="0"/>
    <x v="23"/>
    <x v="5"/>
    <x v="17"/>
    <n v="0"/>
  </r>
  <r>
    <s v="Butter Scotch"/>
    <x v="0"/>
    <x v="3"/>
    <n v="100"/>
    <n v="200"/>
    <n v="3"/>
    <n v="3"/>
    <n v="0"/>
    <x v="23"/>
    <x v="5"/>
    <x v="17"/>
    <n v="0"/>
  </r>
  <r>
    <s v="Pineapple"/>
    <x v="1"/>
    <x v="4"/>
    <n v="250"/>
    <n v="350"/>
    <n v="3"/>
    <n v="1"/>
    <n v="2"/>
    <x v="23"/>
    <x v="5"/>
    <x v="4"/>
    <n v="200"/>
  </r>
  <r>
    <s v="Chocolate Truffle"/>
    <x v="1"/>
    <x v="5"/>
    <n v="300"/>
    <n v="400"/>
    <n v="0"/>
    <n v="0"/>
    <n v="0"/>
    <x v="23"/>
    <x v="5"/>
    <x v="17"/>
    <n v="0"/>
  </r>
  <r>
    <s v="Black Forest"/>
    <x v="1"/>
    <x v="6"/>
    <n v="250"/>
    <n v="350"/>
    <n v="2"/>
    <n v="2"/>
    <n v="0"/>
    <x v="23"/>
    <x v="5"/>
    <x v="17"/>
    <n v="0"/>
  </r>
  <r>
    <s v="Butter Scotch"/>
    <x v="1"/>
    <x v="7"/>
    <n v="250"/>
    <n v="350"/>
    <n v="2"/>
    <n v="2"/>
    <n v="0"/>
    <x v="23"/>
    <x v="5"/>
    <x v="17"/>
    <n v="0"/>
  </r>
  <r>
    <s v="Chocochip"/>
    <x v="1"/>
    <x v="8"/>
    <n v="300"/>
    <n v="450"/>
    <n v="1"/>
    <n v="1"/>
    <n v="0"/>
    <x v="23"/>
    <x v="5"/>
    <x v="17"/>
    <n v="0"/>
  </r>
  <r>
    <s v="Fruit Cake(400gram)"/>
    <x v="2"/>
    <x v="9"/>
    <n v="320"/>
    <n v="400"/>
    <n v="0"/>
    <n v="0"/>
    <n v="0"/>
    <x v="23"/>
    <x v="5"/>
    <x v="17"/>
    <n v="0"/>
  </r>
  <r>
    <s v="Fruit Cake(200gram)"/>
    <x v="2"/>
    <x v="10"/>
    <n v="100"/>
    <n v="150"/>
    <n v="3"/>
    <n v="3"/>
    <n v="0"/>
    <x v="23"/>
    <x v="5"/>
    <x v="17"/>
    <n v="0"/>
  </r>
  <r>
    <s v="Pineapple"/>
    <x v="3"/>
    <x v="11"/>
    <n v="25"/>
    <n v="40"/>
    <n v="6"/>
    <n v="5"/>
    <n v="1"/>
    <x v="23"/>
    <x v="5"/>
    <x v="35"/>
    <n v="15"/>
  </r>
  <r>
    <s v="Chocolate Truffle"/>
    <x v="3"/>
    <x v="12"/>
    <n v="30"/>
    <n v="50"/>
    <n v="11"/>
    <n v="10"/>
    <n v="1"/>
    <x v="23"/>
    <x v="5"/>
    <x v="41"/>
    <n v="20"/>
  </r>
  <r>
    <s v="Butter Scotch"/>
    <x v="3"/>
    <x v="13"/>
    <n v="25"/>
    <n v="40"/>
    <n v="13"/>
    <n v="9"/>
    <n v="4"/>
    <x v="23"/>
    <x v="5"/>
    <x v="63"/>
    <n v="60"/>
  </r>
  <r>
    <s v="Black Forest"/>
    <x v="3"/>
    <x v="14"/>
    <n v="25"/>
    <n v="40"/>
    <n v="1"/>
    <n v="0"/>
    <n v="1"/>
    <x v="23"/>
    <x v="5"/>
    <x v="35"/>
    <n v="15"/>
  </r>
  <r>
    <s v="Chocochip"/>
    <x v="3"/>
    <x v="15"/>
    <n v="30"/>
    <n v="55"/>
    <n v="1"/>
    <n v="1"/>
    <n v="0"/>
    <x v="23"/>
    <x v="5"/>
    <x v="17"/>
    <n v="0"/>
  </r>
  <r>
    <s v="Bonfire"/>
    <x v="3"/>
    <x v="16"/>
    <n v="40"/>
    <n v="65"/>
    <n v="21"/>
    <n v="19"/>
    <n v="2"/>
    <x v="23"/>
    <x v="5"/>
    <x v="37"/>
    <n v="50"/>
  </r>
  <r>
    <s v="Choco Lava"/>
    <x v="3"/>
    <x v="17"/>
    <n v="50"/>
    <n v="70"/>
    <n v="0"/>
    <n v="0"/>
    <n v="0"/>
    <x v="23"/>
    <x v="5"/>
    <x v="17"/>
    <n v="0"/>
  </r>
  <r>
    <s v="Cupcakes"/>
    <x v="3"/>
    <x v="18"/>
    <n v="20"/>
    <n v="30"/>
    <n v="11"/>
    <n v="11"/>
    <n v="0"/>
    <x v="23"/>
    <x v="5"/>
    <x v="17"/>
    <n v="0"/>
  </r>
  <r>
    <s v="Muffins"/>
    <x v="3"/>
    <x v="19"/>
    <n v="10"/>
    <n v="20"/>
    <n v="7"/>
    <n v="7"/>
    <n v="0"/>
    <x v="23"/>
    <x v="5"/>
    <x v="17"/>
    <n v="0"/>
  </r>
  <r>
    <s v="Jar Cakes"/>
    <x v="3"/>
    <x v="20"/>
    <n v="60"/>
    <n v="100"/>
    <n v="3"/>
    <n v="3"/>
    <n v="0"/>
    <x v="23"/>
    <x v="5"/>
    <x v="17"/>
    <n v="0"/>
  </r>
  <r>
    <s v="Paneer Sandwich"/>
    <x v="4"/>
    <x v="21"/>
    <n v="50"/>
    <n v="70"/>
    <n v="3"/>
    <n v="3"/>
    <n v="0"/>
    <x v="23"/>
    <x v="5"/>
    <x v="17"/>
    <n v="0"/>
  </r>
  <r>
    <s v="Hotdog"/>
    <x v="4"/>
    <x v="22"/>
    <n v="45"/>
    <n v="65"/>
    <n v="0"/>
    <n v="0"/>
    <n v="0"/>
    <x v="23"/>
    <x v="5"/>
    <x v="17"/>
    <n v="0"/>
  </r>
  <r>
    <s v="Paneer Roll"/>
    <x v="4"/>
    <x v="23"/>
    <n v="50"/>
    <n v="70"/>
    <n v="0"/>
    <n v="0"/>
    <n v="0"/>
    <x v="23"/>
    <x v="5"/>
    <x v="17"/>
    <n v="0"/>
  </r>
  <r>
    <s v="Aloo Patiz"/>
    <x v="4"/>
    <x v="24"/>
    <n v="10"/>
    <n v="15"/>
    <n v="11"/>
    <n v="0"/>
    <n v="11"/>
    <x v="23"/>
    <x v="5"/>
    <x v="40"/>
    <n v="55"/>
  </r>
  <r>
    <s v="Paneer Patiz"/>
    <x v="4"/>
    <x v="25"/>
    <n v="20"/>
    <n v="25"/>
    <n v="10"/>
    <n v="8"/>
    <n v="2"/>
    <x v="23"/>
    <x v="5"/>
    <x v="41"/>
    <n v="10"/>
  </r>
  <r>
    <s v="Pao"/>
    <x v="5"/>
    <x v="26"/>
    <n v="25"/>
    <n v="30"/>
    <n v="8"/>
    <n v="12"/>
    <n v="-4"/>
    <x v="23"/>
    <x v="5"/>
    <x v="81"/>
    <n v="-20"/>
  </r>
  <r>
    <s v="Burger Buns"/>
    <x v="5"/>
    <x v="27"/>
    <n v="25"/>
    <n v="30"/>
    <n v="6"/>
    <n v="2"/>
    <n v="4"/>
    <x v="23"/>
    <x v="5"/>
    <x v="28"/>
    <n v="20"/>
  </r>
  <r>
    <s v="Pizza Base"/>
    <x v="5"/>
    <x v="28"/>
    <n v="25"/>
    <n v="30"/>
    <n v="5"/>
    <n v="5"/>
    <n v="0"/>
    <x v="23"/>
    <x v="5"/>
    <x v="17"/>
    <n v="0"/>
  </r>
  <r>
    <s v="Brown Bread"/>
    <x v="5"/>
    <x v="29"/>
    <n v="30"/>
    <n v="35"/>
    <n v="15"/>
    <n v="11"/>
    <n v="4"/>
    <x v="23"/>
    <x v="5"/>
    <x v="25"/>
    <n v="20"/>
  </r>
  <r>
    <s v="Pineapple"/>
    <x v="0"/>
    <x v="0"/>
    <n v="100"/>
    <n v="200"/>
    <n v="2"/>
    <n v="2"/>
    <n v="0"/>
    <x v="24"/>
    <x v="6"/>
    <x v="17"/>
    <n v="0"/>
  </r>
  <r>
    <s v="Chocolate Truffle"/>
    <x v="0"/>
    <x v="1"/>
    <n v="200"/>
    <n v="300"/>
    <n v="4"/>
    <n v="2"/>
    <n v="2"/>
    <x v="24"/>
    <x v="6"/>
    <x v="3"/>
    <n v="200"/>
  </r>
  <r>
    <s v="Black Forest"/>
    <x v="0"/>
    <x v="2"/>
    <n v="150"/>
    <n v="250"/>
    <n v="3"/>
    <n v="3"/>
    <n v="0"/>
    <x v="24"/>
    <x v="6"/>
    <x v="17"/>
    <n v="0"/>
  </r>
  <r>
    <s v="Butter Scotch"/>
    <x v="0"/>
    <x v="3"/>
    <n v="100"/>
    <n v="200"/>
    <n v="3"/>
    <n v="1"/>
    <n v="2"/>
    <x v="24"/>
    <x v="6"/>
    <x v="0"/>
    <n v="200"/>
  </r>
  <r>
    <s v="Pineapple"/>
    <x v="1"/>
    <x v="4"/>
    <n v="250"/>
    <n v="350"/>
    <n v="1"/>
    <n v="0"/>
    <n v="1"/>
    <x v="24"/>
    <x v="6"/>
    <x v="7"/>
    <n v="100"/>
  </r>
  <r>
    <s v="Chocolate Truffle"/>
    <x v="1"/>
    <x v="5"/>
    <n v="300"/>
    <n v="400"/>
    <n v="0"/>
    <n v="0"/>
    <n v="0"/>
    <x v="24"/>
    <x v="6"/>
    <x v="17"/>
    <n v="0"/>
  </r>
  <r>
    <s v="Black Forest"/>
    <x v="1"/>
    <x v="6"/>
    <n v="250"/>
    <n v="350"/>
    <n v="2"/>
    <n v="1"/>
    <n v="1"/>
    <x v="24"/>
    <x v="6"/>
    <x v="7"/>
    <n v="100"/>
  </r>
  <r>
    <s v="Butter Scotch"/>
    <x v="1"/>
    <x v="7"/>
    <n v="250"/>
    <n v="350"/>
    <n v="2"/>
    <n v="1"/>
    <n v="1"/>
    <x v="24"/>
    <x v="6"/>
    <x v="7"/>
    <n v="100"/>
  </r>
  <r>
    <s v="Chocochip"/>
    <x v="1"/>
    <x v="8"/>
    <n v="300"/>
    <n v="450"/>
    <n v="1"/>
    <n v="1"/>
    <n v="0"/>
    <x v="24"/>
    <x v="6"/>
    <x v="17"/>
    <n v="0"/>
  </r>
  <r>
    <s v="Fruit Cake(400gram)"/>
    <x v="2"/>
    <x v="9"/>
    <n v="320"/>
    <n v="400"/>
    <n v="0"/>
    <n v="0"/>
    <n v="0"/>
    <x v="24"/>
    <x v="6"/>
    <x v="17"/>
    <n v="0"/>
  </r>
  <r>
    <s v="Fruit Cake(200gram)"/>
    <x v="2"/>
    <x v="10"/>
    <n v="100"/>
    <n v="150"/>
    <n v="3"/>
    <n v="3"/>
    <n v="0"/>
    <x v="24"/>
    <x v="6"/>
    <x v="17"/>
    <n v="0"/>
  </r>
  <r>
    <s v="Pineapple"/>
    <x v="3"/>
    <x v="11"/>
    <n v="25"/>
    <n v="40"/>
    <n v="15"/>
    <n v="11"/>
    <n v="4"/>
    <x v="24"/>
    <x v="6"/>
    <x v="63"/>
    <n v="60"/>
  </r>
  <r>
    <s v="Chocolate Truffle"/>
    <x v="3"/>
    <x v="12"/>
    <n v="30"/>
    <n v="50"/>
    <n v="10"/>
    <n v="2"/>
    <n v="8"/>
    <x v="24"/>
    <x v="6"/>
    <x v="0"/>
    <n v="160"/>
  </r>
  <r>
    <s v="Butter Scotch"/>
    <x v="3"/>
    <x v="13"/>
    <n v="25"/>
    <n v="40"/>
    <n v="9"/>
    <n v="6"/>
    <n v="3"/>
    <x v="24"/>
    <x v="6"/>
    <x v="28"/>
    <n v="45"/>
  </r>
  <r>
    <s v="Black Forest"/>
    <x v="3"/>
    <x v="14"/>
    <n v="25"/>
    <n v="40"/>
    <n v="10"/>
    <n v="10"/>
    <n v="0"/>
    <x v="24"/>
    <x v="6"/>
    <x v="17"/>
    <n v="0"/>
  </r>
  <r>
    <s v="Chocochip"/>
    <x v="3"/>
    <x v="15"/>
    <n v="30"/>
    <n v="55"/>
    <n v="1"/>
    <n v="0"/>
    <n v="1"/>
    <x v="24"/>
    <x v="6"/>
    <x v="30"/>
    <n v="25"/>
  </r>
  <r>
    <s v="Bonfire"/>
    <x v="3"/>
    <x v="16"/>
    <n v="40"/>
    <n v="65"/>
    <n v="19"/>
    <n v="6"/>
    <n v="13"/>
    <x v="24"/>
    <x v="6"/>
    <x v="74"/>
    <n v="325"/>
  </r>
  <r>
    <s v="Choco Lava"/>
    <x v="3"/>
    <x v="17"/>
    <n v="50"/>
    <n v="70"/>
    <n v="0"/>
    <n v="0"/>
    <n v="0"/>
    <x v="24"/>
    <x v="6"/>
    <x v="17"/>
    <n v="0"/>
  </r>
  <r>
    <s v="Cupcakes"/>
    <x v="3"/>
    <x v="18"/>
    <n v="20"/>
    <n v="30"/>
    <n v="11"/>
    <n v="10"/>
    <n v="1"/>
    <x v="24"/>
    <x v="6"/>
    <x v="32"/>
    <n v="10"/>
  </r>
  <r>
    <s v="Muffins"/>
    <x v="3"/>
    <x v="19"/>
    <n v="10"/>
    <n v="20"/>
    <n v="7"/>
    <n v="4"/>
    <n v="3"/>
    <x v="24"/>
    <x v="6"/>
    <x v="42"/>
    <n v="30"/>
  </r>
  <r>
    <s v="Jar Cakes"/>
    <x v="3"/>
    <x v="20"/>
    <n v="60"/>
    <n v="100"/>
    <n v="3"/>
    <n v="2"/>
    <n v="1"/>
    <x v="24"/>
    <x v="6"/>
    <x v="33"/>
    <n v="40"/>
  </r>
  <r>
    <s v="Paneer Sandwich"/>
    <x v="4"/>
    <x v="21"/>
    <n v="50"/>
    <n v="70"/>
    <n v="3"/>
    <n v="0"/>
    <n v="3"/>
    <x v="24"/>
    <x v="6"/>
    <x v="24"/>
    <n v="60"/>
  </r>
  <r>
    <s v="Hotdog"/>
    <x v="4"/>
    <x v="22"/>
    <n v="45"/>
    <n v="65"/>
    <n v="0"/>
    <n v="0"/>
    <n v="0"/>
    <x v="24"/>
    <x v="6"/>
    <x v="17"/>
    <n v="0"/>
  </r>
  <r>
    <s v="Paneer Roll"/>
    <x v="4"/>
    <x v="23"/>
    <n v="50"/>
    <n v="70"/>
    <n v="0"/>
    <n v="0"/>
    <n v="0"/>
    <x v="24"/>
    <x v="6"/>
    <x v="17"/>
    <n v="0"/>
  </r>
  <r>
    <s v="Aloo Patiz"/>
    <x v="4"/>
    <x v="24"/>
    <n v="10"/>
    <n v="15"/>
    <n v="10"/>
    <n v="7"/>
    <n v="3"/>
    <x v="24"/>
    <x v="6"/>
    <x v="61"/>
    <n v="15"/>
  </r>
  <r>
    <s v="Paneer Patiz"/>
    <x v="4"/>
    <x v="25"/>
    <n v="20"/>
    <n v="25"/>
    <n v="8"/>
    <n v="3"/>
    <n v="5"/>
    <x v="24"/>
    <x v="6"/>
    <x v="79"/>
    <n v="25"/>
  </r>
  <r>
    <s v="Pao"/>
    <x v="5"/>
    <x v="26"/>
    <n v="25"/>
    <n v="30"/>
    <n v="12"/>
    <n v="10"/>
    <n v="2"/>
    <x v="24"/>
    <x v="6"/>
    <x v="42"/>
    <n v="10"/>
  </r>
  <r>
    <s v="Burger Buns"/>
    <x v="5"/>
    <x v="27"/>
    <n v="25"/>
    <n v="30"/>
    <n v="2"/>
    <n v="2"/>
    <n v="0"/>
    <x v="24"/>
    <x v="6"/>
    <x v="17"/>
    <n v="0"/>
  </r>
  <r>
    <s v="Pizza Base"/>
    <x v="5"/>
    <x v="28"/>
    <n v="25"/>
    <n v="30"/>
    <n v="5"/>
    <n v="5"/>
    <n v="0"/>
    <x v="24"/>
    <x v="6"/>
    <x v="17"/>
    <n v="0"/>
  </r>
  <r>
    <s v="Brown Bread"/>
    <x v="5"/>
    <x v="29"/>
    <n v="30"/>
    <n v="35"/>
    <n v="20"/>
    <n v="10"/>
    <n v="10"/>
    <x v="24"/>
    <x v="6"/>
    <x v="7"/>
    <n v="50"/>
  </r>
  <r>
    <s v="Pineapple"/>
    <x v="0"/>
    <x v="0"/>
    <n v="100"/>
    <n v="200"/>
    <n v="2"/>
    <n v="0"/>
    <n v="2"/>
    <x v="25"/>
    <x v="0"/>
    <x v="0"/>
    <n v="200"/>
  </r>
  <r>
    <s v="Chocolate Truffle"/>
    <x v="0"/>
    <x v="1"/>
    <n v="200"/>
    <n v="300"/>
    <n v="2"/>
    <n v="2"/>
    <n v="0"/>
    <x v="25"/>
    <x v="0"/>
    <x v="17"/>
    <n v="0"/>
  </r>
  <r>
    <s v="Black Forest"/>
    <x v="0"/>
    <x v="2"/>
    <n v="150"/>
    <n v="250"/>
    <n v="3"/>
    <n v="2"/>
    <n v="1"/>
    <x v="25"/>
    <x v="0"/>
    <x v="26"/>
    <n v="100"/>
  </r>
  <r>
    <s v="Butter Scotch"/>
    <x v="0"/>
    <x v="3"/>
    <n v="100"/>
    <n v="200"/>
    <n v="1"/>
    <n v="1"/>
    <n v="0"/>
    <x v="25"/>
    <x v="0"/>
    <x v="17"/>
    <n v="0"/>
  </r>
  <r>
    <s v="Pineapple"/>
    <x v="1"/>
    <x v="4"/>
    <n v="250"/>
    <n v="350"/>
    <n v="2"/>
    <n v="1"/>
    <n v="1"/>
    <x v="25"/>
    <x v="0"/>
    <x v="7"/>
    <n v="100"/>
  </r>
  <r>
    <s v="Chocolate Truffle"/>
    <x v="1"/>
    <x v="5"/>
    <n v="300"/>
    <n v="400"/>
    <n v="1"/>
    <n v="1"/>
    <n v="0"/>
    <x v="25"/>
    <x v="0"/>
    <x v="17"/>
    <n v="0"/>
  </r>
  <r>
    <s v="Black Forest"/>
    <x v="1"/>
    <x v="6"/>
    <n v="250"/>
    <n v="350"/>
    <n v="2"/>
    <n v="1"/>
    <n v="1"/>
    <x v="25"/>
    <x v="0"/>
    <x v="7"/>
    <n v="100"/>
  </r>
  <r>
    <s v="Butter Scotch"/>
    <x v="1"/>
    <x v="7"/>
    <n v="250"/>
    <n v="350"/>
    <n v="1"/>
    <n v="1"/>
    <n v="0"/>
    <x v="25"/>
    <x v="0"/>
    <x v="17"/>
    <n v="0"/>
  </r>
  <r>
    <s v="Chocochip"/>
    <x v="1"/>
    <x v="8"/>
    <n v="300"/>
    <n v="450"/>
    <n v="1"/>
    <n v="0"/>
    <n v="1"/>
    <x v="25"/>
    <x v="0"/>
    <x v="8"/>
    <n v="150"/>
  </r>
  <r>
    <s v="Fruit Cake(400gram)"/>
    <x v="2"/>
    <x v="9"/>
    <n v="320"/>
    <n v="400"/>
    <n v="0"/>
    <n v="0"/>
    <n v="0"/>
    <x v="25"/>
    <x v="0"/>
    <x v="17"/>
    <n v="0"/>
  </r>
  <r>
    <s v="Fruit Cake(200gram)"/>
    <x v="2"/>
    <x v="10"/>
    <n v="100"/>
    <n v="150"/>
    <n v="3"/>
    <n v="3"/>
    <n v="0"/>
    <x v="25"/>
    <x v="0"/>
    <x v="17"/>
    <n v="0"/>
  </r>
  <r>
    <s v="Pineapple"/>
    <x v="3"/>
    <x v="11"/>
    <n v="25"/>
    <n v="40"/>
    <n v="11"/>
    <n v="5"/>
    <n v="6"/>
    <x v="25"/>
    <x v="0"/>
    <x v="47"/>
    <n v="90"/>
  </r>
  <r>
    <s v="Chocolate Truffle"/>
    <x v="3"/>
    <x v="12"/>
    <n v="30"/>
    <n v="50"/>
    <n v="2"/>
    <n v="0"/>
    <n v="2"/>
    <x v="25"/>
    <x v="0"/>
    <x v="33"/>
    <n v="40"/>
  </r>
  <r>
    <s v="Butter Scotch"/>
    <x v="3"/>
    <x v="13"/>
    <n v="25"/>
    <n v="40"/>
    <n v="6"/>
    <n v="6"/>
    <n v="0"/>
    <x v="25"/>
    <x v="0"/>
    <x v="17"/>
    <n v="0"/>
  </r>
  <r>
    <s v="Black Forest"/>
    <x v="3"/>
    <x v="14"/>
    <n v="25"/>
    <n v="40"/>
    <n v="10"/>
    <n v="4"/>
    <n v="6"/>
    <x v="25"/>
    <x v="0"/>
    <x v="47"/>
    <n v="90"/>
  </r>
  <r>
    <s v="Chocochip"/>
    <x v="3"/>
    <x v="15"/>
    <n v="30"/>
    <n v="55"/>
    <n v="0"/>
    <n v="0"/>
    <n v="0"/>
    <x v="25"/>
    <x v="0"/>
    <x v="17"/>
    <n v="0"/>
  </r>
  <r>
    <s v="Bonfire"/>
    <x v="3"/>
    <x v="16"/>
    <n v="40"/>
    <n v="65"/>
    <n v="6"/>
    <n v="5"/>
    <n v="1"/>
    <x v="25"/>
    <x v="0"/>
    <x v="71"/>
    <n v="25"/>
  </r>
  <r>
    <s v="Choco Lava"/>
    <x v="3"/>
    <x v="17"/>
    <n v="50"/>
    <n v="70"/>
    <n v="0"/>
    <n v="0"/>
    <n v="0"/>
    <x v="25"/>
    <x v="0"/>
    <x v="17"/>
    <n v="0"/>
  </r>
  <r>
    <s v="Cupcakes"/>
    <x v="3"/>
    <x v="18"/>
    <n v="20"/>
    <n v="30"/>
    <n v="10"/>
    <n v="10"/>
    <n v="0"/>
    <x v="25"/>
    <x v="0"/>
    <x v="17"/>
    <n v="0"/>
  </r>
  <r>
    <s v="Muffins"/>
    <x v="3"/>
    <x v="19"/>
    <n v="10"/>
    <n v="20"/>
    <n v="4"/>
    <n v="4"/>
    <n v="0"/>
    <x v="25"/>
    <x v="0"/>
    <x v="17"/>
    <n v="0"/>
  </r>
  <r>
    <s v="Jar Cakes"/>
    <x v="3"/>
    <x v="20"/>
    <n v="60"/>
    <n v="100"/>
    <n v="2"/>
    <n v="2"/>
    <n v="0"/>
    <x v="25"/>
    <x v="0"/>
    <x v="17"/>
    <n v="0"/>
  </r>
  <r>
    <s v="Paneer Sandwich"/>
    <x v="4"/>
    <x v="21"/>
    <n v="50"/>
    <n v="70"/>
    <n v="0"/>
    <n v="0"/>
    <n v="0"/>
    <x v="25"/>
    <x v="0"/>
    <x v="17"/>
    <n v="0"/>
  </r>
  <r>
    <s v="Hotdog"/>
    <x v="4"/>
    <x v="22"/>
    <n v="45"/>
    <n v="65"/>
    <n v="0"/>
    <n v="0"/>
    <n v="0"/>
    <x v="25"/>
    <x v="0"/>
    <x v="17"/>
    <n v="0"/>
  </r>
  <r>
    <s v="Paneer Roll"/>
    <x v="4"/>
    <x v="23"/>
    <n v="50"/>
    <n v="70"/>
    <n v="0"/>
    <n v="0"/>
    <n v="0"/>
    <x v="25"/>
    <x v="0"/>
    <x v="17"/>
    <n v="0"/>
  </r>
  <r>
    <s v="Aloo Patiz"/>
    <x v="4"/>
    <x v="24"/>
    <n v="10"/>
    <n v="15"/>
    <n v="7"/>
    <n v="2"/>
    <n v="5"/>
    <x v="25"/>
    <x v="0"/>
    <x v="49"/>
    <n v="25"/>
  </r>
  <r>
    <s v="Paneer Patiz"/>
    <x v="4"/>
    <x v="25"/>
    <n v="20"/>
    <n v="25"/>
    <n v="3"/>
    <n v="1"/>
    <n v="2"/>
    <x v="25"/>
    <x v="0"/>
    <x v="41"/>
    <n v="10"/>
  </r>
  <r>
    <s v="Pao"/>
    <x v="5"/>
    <x v="26"/>
    <n v="25"/>
    <n v="30"/>
    <n v="10"/>
    <n v="5"/>
    <n v="5"/>
    <x v="25"/>
    <x v="0"/>
    <x v="22"/>
    <n v="25"/>
  </r>
  <r>
    <s v="Burger Buns"/>
    <x v="5"/>
    <x v="27"/>
    <n v="25"/>
    <n v="30"/>
    <n v="2"/>
    <n v="2"/>
    <n v="0"/>
    <x v="25"/>
    <x v="0"/>
    <x v="17"/>
    <n v="0"/>
  </r>
  <r>
    <s v="Pizza Base"/>
    <x v="5"/>
    <x v="28"/>
    <n v="25"/>
    <n v="30"/>
    <n v="5"/>
    <n v="3"/>
    <n v="2"/>
    <x v="25"/>
    <x v="0"/>
    <x v="42"/>
    <n v="10"/>
  </r>
  <r>
    <s v="Brown Bread"/>
    <x v="5"/>
    <x v="29"/>
    <n v="30"/>
    <n v="35"/>
    <n v="10"/>
    <n v="7"/>
    <n v="3"/>
    <x v="25"/>
    <x v="0"/>
    <x v="45"/>
    <n v="15"/>
  </r>
  <r>
    <s v="Pineapple"/>
    <x v="0"/>
    <x v="0"/>
    <n v="100"/>
    <n v="200"/>
    <n v="0"/>
    <n v="1"/>
    <n v="-1"/>
    <x v="26"/>
    <x v="1"/>
    <x v="82"/>
    <n v="-100"/>
  </r>
  <r>
    <s v="Chocolate Truffle"/>
    <x v="0"/>
    <x v="1"/>
    <n v="200"/>
    <n v="300"/>
    <n v="2"/>
    <n v="2"/>
    <n v="0"/>
    <x v="26"/>
    <x v="1"/>
    <x v="17"/>
    <n v="0"/>
  </r>
  <r>
    <s v="Black Forest"/>
    <x v="0"/>
    <x v="2"/>
    <n v="150"/>
    <n v="250"/>
    <n v="2"/>
    <n v="2"/>
    <n v="0"/>
    <x v="26"/>
    <x v="1"/>
    <x v="17"/>
    <n v="0"/>
  </r>
  <r>
    <s v="Butter Scotch"/>
    <x v="0"/>
    <x v="3"/>
    <n v="100"/>
    <n v="200"/>
    <n v="1"/>
    <n v="0"/>
    <n v="1"/>
    <x v="26"/>
    <x v="1"/>
    <x v="19"/>
    <n v="100"/>
  </r>
  <r>
    <s v="Pineapple"/>
    <x v="1"/>
    <x v="4"/>
    <n v="250"/>
    <n v="350"/>
    <n v="2"/>
    <n v="2"/>
    <n v="0"/>
    <x v="26"/>
    <x v="1"/>
    <x v="17"/>
    <n v="0"/>
  </r>
  <r>
    <s v="Chocolate Truffle"/>
    <x v="1"/>
    <x v="5"/>
    <n v="300"/>
    <n v="400"/>
    <n v="1"/>
    <n v="1"/>
    <n v="0"/>
    <x v="26"/>
    <x v="1"/>
    <x v="17"/>
    <n v="0"/>
  </r>
  <r>
    <s v="Black Forest"/>
    <x v="1"/>
    <x v="6"/>
    <n v="250"/>
    <n v="350"/>
    <n v="2"/>
    <n v="2"/>
    <n v="0"/>
    <x v="26"/>
    <x v="1"/>
    <x v="17"/>
    <n v="0"/>
  </r>
  <r>
    <s v="Butter Scotch"/>
    <x v="1"/>
    <x v="7"/>
    <n v="250"/>
    <n v="350"/>
    <n v="1"/>
    <n v="0"/>
    <n v="1"/>
    <x v="26"/>
    <x v="1"/>
    <x v="7"/>
    <n v="100"/>
  </r>
  <r>
    <s v="Chocochip"/>
    <x v="1"/>
    <x v="8"/>
    <n v="300"/>
    <n v="450"/>
    <n v="1"/>
    <n v="1"/>
    <n v="0"/>
    <x v="26"/>
    <x v="1"/>
    <x v="17"/>
    <n v="0"/>
  </r>
  <r>
    <s v="Fruit Cake(400gram)"/>
    <x v="2"/>
    <x v="9"/>
    <n v="320"/>
    <n v="400"/>
    <n v="0"/>
    <n v="0"/>
    <n v="0"/>
    <x v="26"/>
    <x v="1"/>
    <x v="17"/>
    <n v="0"/>
  </r>
  <r>
    <s v="Fruit Cake(200gram)"/>
    <x v="2"/>
    <x v="10"/>
    <n v="100"/>
    <n v="150"/>
    <n v="3"/>
    <n v="3"/>
    <n v="0"/>
    <x v="26"/>
    <x v="1"/>
    <x v="17"/>
    <n v="0"/>
  </r>
  <r>
    <s v="Pineapple"/>
    <x v="3"/>
    <x v="11"/>
    <n v="25"/>
    <n v="40"/>
    <n v="8"/>
    <n v="8"/>
    <n v="0"/>
    <x v="26"/>
    <x v="1"/>
    <x v="17"/>
    <n v="0"/>
  </r>
  <r>
    <s v="Chocolate Truffle"/>
    <x v="3"/>
    <x v="12"/>
    <n v="30"/>
    <n v="50"/>
    <n v="10"/>
    <n v="6"/>
    <n v="4"/>
    <x v="26"/>
    <x v="1"/>
    <x v="19"/>
    <n v="80"/>
  </r>
  <r>
    <s v="Butter Scotch"/>
    <x v="3"/>
    <x v="13"/>
    <n v="25"/>
    <n v="40"/>
    <n v="6"/>
    <n v="5"/>
    <n v="1"/>
    <x v="26"/>
    <x v="1"/>
    <x v="35"/>
    <n v="15"/>
  </r>
  <r>
    <s v="Black Forest"/>
    <x v="3"/>
    <x v="14"/>
    <n v="25"/>
    <n v="40"/>
    <n v="14"/>
    <n v="11"/>
    <n v="3"/>
    <x v="26"/>
    <x v="1"/>
    <x v="28"/>
    <n v="45"/>
  </r>
  <r>
    <s v="Chocochip"/>
    <x v="3"/>
    <x v="15"/>
    <n v="30"/>
    <n v="55"/>
    <n v="0"/>
    <n v="0"/>
    <n v="0"/>
    <x v="26"/>
    <x v="1"/>
    <x v="17"/>
    <n v="0"/>
  </r>
  <r>
    <s v="Bonfire"/>
    <x v="3"/>
    <x v="16"/>
    <n v="40"/>
    <n v="65"/>
    <n v="15"/>
    <n v="10"/>
    <n v="5"/>
    <x v="26"/>
    <x v="1"/>
    <x v="83"/>
    <n v="125"/>
  </r>
  <r>
    <s v="Choco Lava"/>
    <x v="3"/>
    <x v="17"/>
    <n v="50"/>
    <n v="70"/>
    <n v="0"/>
    <n v="0"/>
    <n v="0"/>
    <x v="26"/>
    <x v="1"/>
    <x v="17"/>
    <n v="0"/>
  </r>
  <r>
    <s v="Cupcakes"/>
    <x v="3"/>
    <x v="18"/>
    <n v="20"/>
    <n v="30"/>
    <n v="10"/>
    <n v="8"/>
    <n v="2"/>
    <x v="26"/>
    <x v="1"/>
    <x v="42"/>
    <n v="20"/>
  </r>
  <r>
    <s v="Muffins"/>
    <x v="3"/>
    <x v="19"/>
    <n v="10"/>
    <n v="20"/>
    <n v="4"/>
    <n v="4"/>
    <n v="0"/>
    <x v="26"/>
    <x v="1"/>
    <x v="17"/>
    <n v="0"/>
  </r>
  <r>
    <s v="Jar Cakes"/>
    <x v="3"/>
    <x v="20"/>
    <n v="60"/>
    <n v="100"/>
    <n v="2"/>
    <n v="1"/>
    <n v="1"/>
    <x v="26"/>
    <x v="1"/>
    <x v="33"/>
    <n v="40"/>
  </r>
  <r>
    <s v="Paneer Sandwich"/>
    <x v="4"/>
    <x v="21"/>
    <n v="50"/>
    <n v="70"/>
    <n v="0"/>
    <n v="0"/>
    <n v="0"/>
    <x v="26"/>
    <x v="1"/>
    <x v="17"/>
    <n v="0"/>
  </r>
  <r>
    <s v="Hotdog"/>
    <x v="4"/>
    <x v="22"/>
    <n v="45"/>
    <n v="65"/>
    <n v="0"/>
    <n v="0"/>
    <n v="0"/>
    <x v="26"/>
    <x v="1"/>
    <x v="17"/>
    <n v="0"/>
  </r>
  <r>
    <s v="Paneer Roll"/>
    <x v="4"/>
    <x v="23"/>
    <n v="50"/>
    <n v="70"/>
    <n v="0"/>
    <n v="0"/>
    <n v="0"/>
    <x v="26"/>
    <x v="1"/>
    <x v="17"/>
    <n v="0"/>
  </r>
  <r>
    <s v="Aloo Patiz"/>
    <x v="4"/>
    <x v="24"/>
    <n v="10"/>
    <n v="15"/>
    <n v="7"/>
    <n v="5"/>
    <n v="2"/>
    <x v="26"/>
    <x v="1"/>
    <x v="32"/>
    <n v="10"/>
  </r>
  <r>
    <s v="Paneer Patiz"/>
    <x v="4"/>
    <x v="25"/>
    <n v="20"/>
    <n v="25"/>
    <n v="6"/>
    <n v="2"/>
    <n v="4"/>
    <x v="26"/>
    <x v="1"/>
    <x v="33"/>
    <n v="20"/>
  </r>
  <r>
    <s v="Pao"/>
    <x v="5"/>
    <x v="26"/>
    <n v="25"/>
    <n v="30"/>
    <n v="10"/>
    <n v="6"/>
    <n v="4"/>
    <x v="26"/>
    <x v="1"/>
    <x v="28"/>
    <n v="20"/>
  </r>
  <r>
    <s v="Burger Buns"/>
    <x v="5"/>
    <x v="27"/>
    <n v="25"/>
    <n v="30"/>
    <n v="2"/>
    <n v="1"/>
    <n v="1"/>
    <x v="26"/>
    <x v="1"/>
    <x v="32"/>
    <n v="5"/>
  </r>
  <r>
    <s v="Pizza Base"/>
    <x v="5"/>
    <x v="28"/>
    <n v="25"/>
    <n v="30"/>
    <n v="3"/>
    <n v="1"/>
    <n v="2"/>
    <x v="26"/>
    <x v="1"/>
    <x v="42"/>
    <n v="10"/>
  </r>
  <r>
    <s v="Brown Bread"/>
    <x v="5"/>
    <x v="29"/>
    <n v="30"/>
    <n v="35"/>
    <n v="12"/>
    <n v="3"/>
    <n v="9"/>
    <x v="26"/>
    <x v="1"/>
    <x v="84"/>
    <n v="45"/>
  </r>
  <r>
    <s v="Pineapple"/>
    <x v="0"/>
    <x v="0"/>
    <n v="100"/>
    <n v="200"/>
    <n v="4"/>
    <n v="0"/>
    <n v="2"/>
    <x v="27"/>
    <x v="3"/>
    <x v="0"/>
    <n v="200"/>
  </r>
  <r>
    <s v="Chocolate Truffle"/>
    <x v="0"/>
    <x v="1"/>
    <n v="200"/>
    <n v="300"/>
    <n v="4"/>
    <n v="2"/>
    <n v="2"/>
    <x v="27"/>
    <x v="3"/>
    <x v="3"/>
    <n v="200"/>
  </r>
  <r>
    <s v="Black Forest"/>
    <x v="0"/>
    <x v="2"/>
    <n v="150"/>
    <n v="250"/>
    <n v="4"/>
    <n v="1"/>
    <n v="3"/>
    <x v="27"/>
    <x v="3"/>
    <x v="2"/>
    <n v="300"/>
  </r>
  <r>
    <s v="Butter Scotch"/>
    <x v="0"/>
    <x v="3"/>
    <n v="100"/>
    <n v="200"/>
    <n v="2"/>
    <n v="1"/>
    <n v="1"/>
    <x v="27"/>
    <x v="3"/>
    <x v="19"/>
    <n v="100"/>
  </r>
  <r>
    <s v="Pineapple"/>
    <x v="1"/>
    <x v="4"/>
    <n v="250"/>
    <n v="350"/>
    <n v="2"/>
    <n v="2"/>
    <n v="0"/>
    <x v="27"/>
    <x v="3"/>
    <x v="17"/>
    <n v="0"/>
  </r>
  <r>
    <s v="Chocolate Truffle"/>
    <x v="1"/>
    <x v="5"/>
    <n v="300"/>
    <n v="400"/>
    <n v="1"/>
    <n v="1"/>
    <n v="0"/>
    <x v="27"/>
    <x v="3"/>
    <x v="17"/>
    <n v="0"/>
  </r>
  <r>
    <s v="Black Forest"/>
    <x v="1"/>
    <x v="6"/>
    <n v="250"/>
    <n v="350"/>
    <n v="2"/>
    <n v="1"/>
    <n v="1"/>
    <x v="27"/>
    <x v="3"/>
    <x v="7"/>
    <n v="100"/>
  </r>
  <r>
    <s v="Butter Scotch"/>
    <x v="1"/>
    <x v="7"/>
    <n v="250"/>
    <n v="350"/>
    <n v="0"/>
    <n v="0"/>
    <n v="0"/>
    <x v="27"/>
    <x v="3"/>
    <x v="17"/>
    <n v="0"/>
  </r>
  <r>
    <s v="Chocochip"/>
    <x v="1"/>
    <x v="8"/>
    <n v="300"/>
    <n v="450"/>
    <n v="1"/>
    <n v="0"/>
    <n v="1"/>
    <x v="27"/>
    <x v="3"/>
    <x v="8"/>
    <n v="150"/>
  </r>
  <r>
    <s v="Fruit Cake(400gram)"/>
    <x v="2"/>
    <x v="9"/>
    <n v="320"/>
    <n v="400"/>
    <n v="0"/>
    <n v="0"/>
    <n v="0"/>
    <x v="27"/>
    <x v="3"/>
    <x v="17"/>
    <n v="0"/>
  </r>
  <r>
    <s v="Fruit Cake(200gram)"/>
    <x v="2"/>
    <x v="10"/>
    <n v="100"/>
    <n v="150"/>
    <n v="3"/>
    <n v="3"/>
    <n v="0"/>
    <x v="27"/>
    <x v="3"/>
    <x v="17"/>
    <n v="0"/>
  </r>
  <r>
    <s v="Pineapple"/>
    <x v="3"/>
    <x v="11"/>
    <n v="25"/>
    <n v="40"/>
    <n v="8"/>
    <n v="4"/>
    <n v="4"/>
    <x v="27"/>
    <x v="3"/>
    <x v="63"/>
    <n v="60"/>
  </r>
  <r>
    <s v="Chocolate Truffle"/>
    <x v="3"/>
    <x v="12"/>
    <n v="30"/>
    <n v="50"/>
    <n v="6"/>
    <n v="4"/>
    <n v="2"/>
    <x v="27"/>
    <x v="3"/>
    <x v="33"/>
    <n v="40"/>
  </r>
  <r>
    <s v="Butter Scotch"/>
    <x v="3"/>
    <x v="13"/>
    <n v="25"/>
    <n v="40"/>
    <n v="5"/>
    <n v="5"/>
    <n v="0"/>
    <x v="27"/>
    <x v="3"/>
    <x v="17"/>
    <n v="0"/>
  </r>
  <r>
    <s v="Black Forest"/>
    <x v="3"/>
    <x v="14"/>
    <n v="25"/>
    <n v="40"/>
    <n v="11"/>
    <n v="11"/>
    <n v="0"/>
    <x v="27"/>
    <x v="3"/>
    <x v="17"/>
    <n v="0"/>
  </r>
  <r>
    <s v="Chocochip"/>
    <x v="3"/>
    <x v="15"/>
    <n v="30"/>
    <n v="55"/>
    <n v="0"/>
    <n v="0"/>
    <n v="0"/>
    <x v="27"/>
    <x v="3"/>
    <x v="17"/>
    <n v="0"/>
  </r>
  <r>
    <s v="Bonfire"/>
    <x v="3"/>
    <x v="16"/>
    <n v="40"/>
    <n v="65"/>
    <n v="10"/>
    <n v="10"/>
    <n v="0"/>
    <x v="27"/>
    <x v="3"/>
    <x v="17"/>
    <n v="0"/>
  </r>
  <r>
    <s v="Choco Lava"/>
    <x v="3"/>
    <x v="17"/>
    <n v="50"/>
    <n v="70"/>
    <n v="0"/>
    <n v="0"/>
    <n v="0"/>
    <x v="27"/>
    <x v="3"/>
    <x v="17"/>
    <n v="0"/>
  </r>
  <r>
    <s v="Cupcakes"/>
    <x v="3"/>
    <x v="18"/>
    <n v="20"/>
    <n v="30"/>
    <n v="8"/>
    <n v="6"/>
    <n v="2"/>
    <x v="27"/>
    <x v="3"/>
    <x v="42"/>
    <n v="20"/>
  </r>
  <r>
    <s v="Muffins"/>
    <x v="3"/>
    <x v="19"/>
    <n v="10"/>
    <n v="20"/>
    <n v="4"/>
    <n v="3"/>
    <n v="1"/>
    <x v="27"/>
    <x v="3"/>
    <x v="80"/>
    <n v="10"/>
  </r>
  <r>
    <s v="Jar Cakes"/>
    <x v="3"/>
    <x v="20"/>
    <n v="60"/>
    <n v="100"/>
    <n v="1"/>
    <n v="1"/>
    <n v="0"/>
    <x v="27"/>
    <x v="3"/>
    <x v="17"/>
    <n v="0"/>
  </r>
  <r>
    <s v="Paneer Sandwich"/>
    <x v="4"/>
    <x v="21"/>
    <n v="50"/>
    <n v="70"/>
    <n v="4"/>
    <n v="2"/>
    <n v="2"/>
    <x v="27"/>
    <x v="3"/>
    <x v="25"/>
    <n v="40"/>
  </r>
  <r>
    <s v="Hotdog"/>
    <x v="4"/>
    <x v="22"/>
    <n v="45"/>
    <n v="65"/>
    <n v="0"/>
    <n v="0"/>
    <n v="0"/>
    <x v="27"/>
    <x v="3"/>
    <x v="17"/>
    <n v="0"/>
  </r>
  <r>
    <s v="Paneer Roll"/>
    <x v="4"/>
    <x v="23"/>
    <n v="50"/>
    <n v="70"/>
    <n v="0"/>
    <n v="0"/>
    <n v="0"/>
    <x v="27"/>
    <x v="3"/>
    <x v="17"/>
    <n v="0"/>
  </r>
  <r>
    <s v="Aloo Patiz"/>
    <x v="4"/>
    <x v="24"/>
    <n v="10"/>
    <n v="15"/>
    <n v="10"/>
    <n v="1"/>
    <n v="9"/>
    <x v="27"/>
    <x v="3"/>
    <x v="85"/>
    <n v="45"/>
  </r>
  <r>
    <s v="Paneer Patiz"/>
    <x v="4"/>
    <x v="25"/>
    <n v="20"/>
    <n v="25"/>
    <n v="7"/>
    <n v="0"/>
    <n v="7"/>
    <x v="27"/>
    <x v="3"/>
    <x v="64"/>
    <n v="35"/>
  </r>
  <r>
    <s v="Pao"/>
    <x v="5"/>
    <x v="26"/>
    <n v="25"/>
    <n v="30"/>
    <n v="16"/>
    <n v="10"/>
    <n v="6"/>
    <x v="27"/>
    <x v="3"/>
    <x v="34"/>
    <n v="30"/>
  </r>
  <r>
    <s v="Burger Buns"/>
    <x v="5"/>
    <x v="27"/>
    <n v="25"/>
    <n v="30"/>
    <n v="6"/>
    <n v="4"/>
    <n v="2"/>
    <x v="27"/>
    <x v="3"/>
    <x v="42"/>
    <n v="10"/>
  </r>
  <r>
    <s v="Pizza Base"/>
    <x v="5"/>
    <x v="28"/>
    <n v="25"/>
    <n v="30"/>
    <n v="6"/>
    <n v="0"/>
    <n v="6"/>
    <x v="27"/>
    <x v="3"/>
    <x v="34"/>
    <n v="30"/>
  </r>
  <r>
    <s v="Brown Bread"/>
    <x v="5"/>
    <x v="29"/>
    <n v="30"/>
    <n v="35"/>
    <n v="13"/>
    <n v="6"/>
    <n v="7"/>
    <x v="27"/>
    <x v="3"/>
    <x v="86"/>
    <n v="35"/>
  </r>
  <r>
    <m/>
    <x v="6"/>
    <x v="30"/>
    <m/>
    <m/>
    <m/>
    <m/>
    <m/>
    <x v="28"/>
    <x v="8"/>
    <x v="87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0">
  <r>
    <s v="Pineapple"/>
    <x v="0"/>
    <x v="0"/>
    <n v="100"/>
    <n v="200"/>
    <n v="6"/>
    <n v="4"/>
    <n v="2"/>
    <x v="0"/>
    <s v="Sunday"/>
    <x v="0"/>
    <n v="200"/>
  </r>
  <r>
    <s v="Chocolate Truffle"/>
    <x v="0"/>
    <x v="1"/>
    <n v="200"/>
    <n v="300"/>
    <n v="5"/>
    <n v="2"/>
    <n v="3"/>
    <x v="0"/>
    <s v="Sunday"/>
    <x v="1"/>
    <n v="300"/>
  </r>
  <r>
    <s v="Black Forest"/>
    <x v="0"/>
    <x v="2"/>
    <n v="150"/>
    <n v="250"/>
    <n v="4"/>
    <n v="1"/>
    <n v="3"/>
    <x v="0"/>
    <s v="Sunday"/>
    <x v="2"/>
    <n v="300"/>
  </r>
  <r>
    <s v="Butter Scotch"/>
    <x v="0"/>
    <x v="3"/>
    <n v="100"/>
    <n v="200"/>
    <n v="5"/>
    <n v="2"/>
    <n v="3"/>
    <x v="0"/>
    <s v="Sunday"/>
    <x v="3"/>
    <n v="300"/>
  </r>
  <r>
    <s v="Pineapple"/>
    <x v="1"/>
    <x v="4"/>
    <n v="250"/>
    <n v="350"/>
    <n v="4"/>
    <n v="2"/>
    <n v="2"/>
    <x v="0"/>
    <s v="Sunday"/>
    <x v="4"/>
    <n v="200"/>
  </r>
  <r>
    <s v="Chocolate Truffle"/>
    <x v="1"/>
    <x v="5"/>
    <n v="300"/>
    <n v="400"/>
    <n v="4"/>
    <n v="0"/>
    <n v="4"/>
    <x v="0"/>
    <s v="Sunday"/>
    <x v="5"/>
    <n v="400"/>
  </r>
  <r>
    <s v="Black Forest"/>
    <x v="1"/>
    <x v="6"/>
    <n v="250"/>
    <n v="350"/>
    <n v="4"/>
    <n v="0"/>
    <n v="4"/>
    <x v="0"/>
    <s v="Sunday"/>
    <x v="6"/>
    <n v="400"/>
  </r>
  <r>
    <s v="Butter Scotch"/>
    <x v="1"/>
    <x v="7"/>
    <n v="250"/>
    <n v="350"/>
    <n v="3"/>
    <n v="2"/>
    <n v="1"/>
    <x v="0"/>
    <s v="Sunday"/>
    <x v="7"/>
    <n v="100"/>
  </r>
  <r>
    <s v="Chocochip"/>
    <x v="1"/>
    <x v="8"/>
    <n v="300"/>
    <n v="450"/>
    <n v="2"/>
    <n v="1"/>
    <n v="1"/>
    <x v="0"/>
    <s v="Sunday"/>
    <x v="8"/>
    <n v="150"/>
  </r>
  <r>
    <s v="Fruit Cake(400gram)"/>
    <x v="2"/>
    <x v="9"/>
    <n v="320"/>
    <n v="400"/>
    <n v="6"/>
    <n v="3"/>
    <n v="3"/>
    <x v="0"/>
    <s v="Sunday"/>
    <x v="9"/>
    <n v="240"/>
  </r>
  <r>
    <s v="Fruit Cake(200gram)"/>
    <x v="2"/>
    <x v="10"/>
    <n v="100"/>
    <n v="150"/>
    <n v="10"/>
    <n v="0"/>
    <n v="10"/>
    <x v="0"/>
    <s v="Sunday"/>
    <x v="10"/>
    <n v="500"/>
  </r>
  <r>
    <s v="Pineapple"/>
    <x v="3"/>
    <x v="11"/>
    <n v="25"/>
    <n v="40"/>
    <n v="32"/>
    <n v="0"/>
    <n v="32"/>
    <x v="0"/>
    <s v="Sunday"/>
    <x v="11"/>
    <n v="480"/>
  </r>
  <r>
    <s v="Chocolate Truffle"/>
    <x v="3"/>
    <x v="12"/>
    <n v="30"/>
    <n v="50"/>
    <n v="24"/>
    <n v="14"/>
    <n v="10"/>
    <x v="0"/>
    <s v="Sunday"/>
    <x v="12"/>
    <n v="200"/>
  </r>
  <r>
    <s v="Butter Scotch"/>
    <x v="3"/>
    <x v="13"/>
    <n v="25"/>
    <n v="40"/>
    <n v="12"/>
    <n v="0"/>
    <n v="12"/>
    <x v="0"/>
    <s v="Sunday"/>
    <x v="13"/>
    <n v="180"/>
  </r>
  <r>
    <s v="Black Forest"/>
    <x v="3"/>
    <x v="14"/>
    <n v="25"/>
    <n v="40"/>
    <n v="22"/>
    <n v="0"/>
    <n v="22"/>
    <x v="0"/>
    <s v="Sunday"/>
    <x v="14"/>
    <n v="330"/>
  </r>
  <r>
    <s v="Chocochip"/>
    <x v="3"/>
    <x v="15"/>
    <n v="30"/>
    <n v="55"/>
    <n v="20"/>
    <n v="1"/>
    <n v="19"/>
    <x v="0"/>
    <s v="Sunday"/>
    <x v="15"/>
    <n v="475"/>
  </r>
  <r>
    <s v="Bonfire"/>
    <x v="3"/>
    <x v="16"/>
    <n v="40"/>
    <n v="65"/>
    <n v="8"/>
    <n v="2"/>
    <n v="6"/>
    <x v="0"/>
    <s v="Sunday"/>
    <x v="16"/>
    <n v="150"/>
  </r>
  <r>
    <s v="Choco Lava"/>
    <x v="3"/>
    <x v="17"/>
    <n v="50"/>
    <n v="70"/>
    <n v="0"/>
    <n v="0"/>
    <n v="0"/>
    <x v="0"/>
    <s v="Sunday"/>
    <x v="17"/>
    <n v="0"/>
  </r>
  <r>
    <s v="Cupcakes"/>
    <x v="3"/>
    <x v="18"/>
    <n v="20"/>
    <n v="30"/>
    <n v="45"/>
    <n v="27"/>
    <n v="18"/>
    <x v="0"/>
    <s v="Sunday"/>
    <x v="18"/>
    <n v="180"/>
  </r>
  <r>
    <s v="Muffins"/>
    <x v="3"/>
    <x v="19"/>
    <n v="10"/>
    <n v="20"/>
    <n v="0"/>
    <n v="0"/>
    <n v="0"/>
    <x v="0"/>
    <s v="Sunday"/>
    <x v="17"/>
    <n v="0"/>
  </r>
  <r>
    <s v="Jar Cakes"/>
    <x v="3"/>
    <x v="20"/>
    <n v="60"/>
    <n v="100"/>
    <n v="7"/>
    <n v="5"/>
    <n v="2"/>
    <x v="0"/>
    <s v="Sunday"/>
    <x v="19"/>
    <n v="80"/>
  </r>
  <r>
    <s v="Paneer Sandwich"/>
    <x v="4"/>
    <x v="21"/>
    <n v="50"/>
    <n v="70"/>
    <n v="7"/>
    <n v="6"/>
    <n v="1"/>
    <x v="0"/>
    <s v="Sunday"/>
    <x v="20"/>
    <n v="20"/>
  </r>
  <r>
    <s v="Hotdog"/>
    <x v="4"/>
    <x v="22"/>
    <n v="45"/>
    <n v="65"/>
    <n v="3"/>
    <n v="3"/>
    <n v="0"/>
    <x v="0"/>
    <s v="Sunday"/>
    <x v="17"/>
    <n v="0"/>
  </r>
  <r>
    <s v="Paneer Roll"/>
    <x v="4"/>
    <x v="23"/>
    <n v="50"/>
    <n v="70"/>
    <n v="4"/>
    <n v="3"/>
    <n v="1"/>
    <x v="0"/>
    <s v="Sunday"/>
    <x v="20"/>
    <n v="20"/>
  </r>
  <r>
    <s v="Aloo Patiz"/>
    <x v="4"/>
    <x v="24"/>
    <n v="10"/>
    <n v="15"/>
    <n v="15"/>
    <n v="0"/>
    <n v="15"/>
    <x v="0"/>
    <s v="Sunday"/>
    <x v="21"/>
    <n v="75"/>
  </r>
  <r>
    <s v="Paneer Patiz"/>
    <x v="4"/>
    <x v="25"/>
    <n v="20"/>
    <n v="25"/>
    <n v="10"/>
    <n v="4"/>
    <n v="6"/>
    <x v="0"/>
    <s v="Sunday"/>
    <x v="22"/>
    <n v="30"/>
  </r>
  <r>
    <s v="Pao"/>
    <x v="5"/>
    <x v="26"/>
    <n v="25"/>
    <n v="30"/>
    <n v="19"/>
    <n v="7"/>
    <n v="12"/>
    <x v="0"/>
    <s v="Sunday"/>
    <x v="23"/>
    <n v="60"/>
  </r>
  <r>
    <s v="Burger Buns"/>
    <x v="5"/>
    <x v="27"/>
    <n v="25"/>
    <n v="30"/>
    <n v="10"/>
    <n v="10"/>
    <n v="0"/>
    <x v="0"/>
    <s v="Sunday"/>
    <x v="17"/>
    <n v="0"/>
  </r>
  <r>
    <s v="Pizza Base"/>
    <x v="5"/>
    <x v="28"/>
    <n v="25"/>
    <n v="30"/>
    <n v="12"/>
    <n v="5"/>
    <n v="7"/>
    <x v="0"/>
    <s v="Sunday"/>
    <x v="24"/>
    <n v="35"/>
  </r>
  <r>
    <s v="Brown Bread"/>
    <x v="5"/>
    <x v="29"/>
    <n v="30"/>
    <n v="35"/>
    <n v="8"/>
    <n v="4"/>
    <n v="4"/>
    <x v="0"/>
    <s v="Sunday"/>
    <x v="25"/>
    <n v="20"/>
  </r>
  <r>
    <s v="Pineapple"/>
    <x v="0"/>
    <x v="0"/>
    <n v="100"/>
    <n v="200"/>
    <n v="4"/>
    <n v="3"/>
    <n v="1"/>
    <x v="1"/>
    <s v="Monday"/>
    <x v="19"/>
    <n v="100"/>
  </r>
  <r>
    <s v="Chocolate Truffle"/>
    <x v="0"/>
    <x v="1"/>
    <n v="200"/>
    <n v="300"/>
    <n v="2"/>
    <n v="0"/>
    <n v="2"/>
    <x v="1"/>
    <s v="Monday"/>
    <x v="3"/>
    <n v="200"/>
  </r>
  <r>
    <s v="Black Forest"/>
    <x v="0"/>
    <x v="2"/>
    <n v="150"/>
    <n v="250"/>
    <n v="1"/>
    <n v="0"/>
    <n v="1"/>
    <x v="1"/>
    <s v="Monday"/>
    <x v="26"/>
    <n v="100"/>
  </r>
  <r>
    <s v="Butter Scotch"/>
    <x v="0"/>
    <x v="3"/>
    <n v="100"/>
    <n v="200"/>
    <n v="2"/>
    <n v="1"/>
    <n v="1"/>
    <x v="1"/>
    <s v="Monday"/>
    <x v="19"/>
    <n v="100"/>
  </r>
  <r>
    <s v="Pineapple"/>
    <x v="1"/>
    <x v="4"/>
    <n v="250"/>
    <n v="350"/>
    <n v="3"/>
    <n v="1"/>
    <n v="2"/>
    <x v="1"/>
    <s v="Monday"/>
    <x v="4"/>
    <n v="200"/>
  </r>
  <r>
    <s v="Chocolate Truffle"/>
    <x v="1"/>
    <x v="5"/>
    <n v="300"/>
    <n v="400"/>
    <n v="1"/>
    <n v="0"/>
    <n v="1"/>
    <x v="1"/>
    <s v="Monday"/>
    <x v="0"/>
    <n v="100"/>
  </r>
  <r>
    <s v="Black Forest"/>
    <x v="1"/>
    <x v="6"/>
    <n v="250"/>
    <n v="350"/>
    <n v="3"/>
    <n v="1"/>
    <n v="2"/>
    <x v="1"/>
    <s v="Monday"/>
    <x v="4"/>
    <n v="200"/>
  </r>
  <r>
    <s v="Butter Scotch"/>
    <x v="1"/>
    <x v="7"/>
    <n v="250"/>
    <n v="350"/>
    <n v="2"/>
    <n v="1"/>
    <n v="1"/>
    <x v="1"/>
    <s v="Monday"/>
    <x v="7"/>
    <n v="100"/>
  </r>
  <r>
    <s v="Chocochip"/>
    <x v="1"/>
    <x v="8"/>
    <n v="300"/>
    <n v="450"/>
    <n v="3"/>
    <n v="0"/>
    <n v="3"/>
    <x v="1"/>
    <s v="Monday"/>
    <x v="27"/>
    <n v="450"/>
  </r>
  <r>
    <s v="Fruit Cake(400gram)"/>
    <x v="2"/>
    <x v="9"/>
    <n v="320"/>
    <n v="400"/>
    <n v="3"/>
    <n v="2"/>
    <n v="1"/>
    <x v="1"/>
    <s v="Monday"/>
    <x v="0"/>
    <n v="80"/>
  </r>
  <r>
    <s v="Fruit Cake(200gram)"/>
    <x v="2"/>
    <x v="10"/>
    <n v="100"/>
    <n v="150"/>
    <n v="0"/>
    <n v="0"/>
    <n v="0"/>
    <x v="1"/>
    <s v="Monday"/>
    <x v="17"/>
    <n v="0"/>
  </r>
  <r>
    <s v="Pineapple"/>
    <x v="3"/>
    <x v="11"/>
    <n v="25"/>
    <n v="40"/>
    <n v="10"/>
    <n v="5"/>
    <n v="5"/>
    <x v="1"/>
    <s v="Monday"/>
    <x v="19"/>
    <n v="75"/>
  </r>
  <r>
    <s v="Chocolate Truffle"/>
    <x v="3"/>
    <x v="12"/>
    <n v="30"/>
    <n v="50"/>
    <n v="14"/>
    <n v="6"/>
    <n v="8"/>
    <x v="1"/>
    <s v="Monday"/>
    <x v="0"/>
    <n v="160"/>
  </r>
  <r>
    <s v="Butter Scotch"/>
    <x v="3"/>
    <x v="13"/>
    <n v="25"/>
    <n v="40"/>
    <n v="10"/>
    <n v="7"/>
    <n v="3"/>
    <x v="1"/>
    <s v="Monday"/>
    <x v="28"/>
    <n v="45"/>
  </r>
  <r>
    <s v="Black Forest"/>
    <x v="3"/>
    <x v="14"/>
    <n v="25"/>
    <n v="40"/>
    <n v="12"/>
    <n v="5"/>
    <n v="7"/>
    <x v="1"/>
    <s v="Monday"/>
    <x v="29"/>
    <n v="105"/>
  </r>
  <r>
    <s v="Chocochip"/>
    <x v="3"/>
    <x v="15"/>
    <n v="30"/>
    <n v="55"/>
    <n v="9"/>
    <n v="8"/>
    <n v="1"/>
    <x v="1"/>
    <s v="Monday"/>
    <x v="30"/>
    <n v="25"/>
  </r>
  <r>
    <s v="Bonfire"/>
    <x v="3"/>
    <x v="16"/>
    <n v="40"/>
    <n v="65"/>
    <n v="12"/>
    <n v="2"/>
    <n v="10"/>
    <x v="1"/>
    <s v="Monday"/>
    <x v="31"/>
    <n v="250"/>
  </r>
  <r>
    <s v="Choco Lava"/>
    <x v="3"/>
    <x v="17"/>
    <n v="50"/>
    <n v="70"/>
    <n v="0"/>
    <n v="0"/>
    <n v="0"/>
    <x v="1"/>
    <s v="Monday"/>
    <x v="17"/>
    <n v="0"/>
  </r>
  <r>
    <s v="Cupcakes"/>
    <x v="3"/>
    <x v="18"/>
    <n v="20"/>
    <n v="30"/>
    <n v="27"/>
    <n v="22"/>
    <n v="5"/>
    <x v="1"/>
    <s v="Monday"/>
    <x v="22"/>
    <n v="50"/>
  </r>
  <r>
    <s v="Muffins"/>
    <x v="3"/>
    <x v="19"/>
    <n v="10"/>
    <n v="20"/>
    <n v="0"/>
    <n v="0"/>
    <n v="0"/>
    <x v="1"/>
    <s v="Monday"/>
    <x v="17"/>
    <n v="0"/>
  </r>
  <r>
    <s v="Jar Cakes"/>
    <x v="3"/>
    <x v="20"/>
    <n v="60"/>
    <n v="100"/>
    <n v="5"/>
    <n v="5"/>
    <n v="0"/>
    <x v="1"/>
    <s v="Monday"/>
    <x v="17"/>
    <n v="0"/>
  </r>
  <r>
    <s v="Paneer Sandwich"/>
    <x v="4"/>
    <x v="21"/>
    <n v="50"/>
    <n v="70"/>
    <n v="6"/>
    <n v="6"/>
    <n v="0"/>
    <x v="1"/>
    <s v="Monday"/>
    <x v="17"/>
    <n v="0"/>
  </r>
  <r>
    <s v="Hotdog"/>
    <x v="4"/>
    <x v="22"/>
    <n v="45"/>
    <n v="65"/>
    <n v="4"/>
    <n v="4"/>
    <n v="0"/>
    <x v="1"/>
    <s v="Monday"/>
    <x v="17"/>
    <n v="0"/>
  </r>
  <r>
    <s v="Paneer Roll"/>
    <x v="4"/>
    <x v="23"/>
    <n v="50"/>
    <n v="70"/>
    <n v="3"/>
    <n v="3"/>
    <n v="0"/>
    <x v="1"/>
    <s v="Monday"/>
    <x v="17"/>
    <n v="0"/>
  </r>
  <r>
    <s v="Aloo Patiz"/>
    <x v="4"/>
    <x v="24"/>
    <n v="10"/>
    <n v="15"/>
    <n v="10"/>
    <n v="8"/>
    <n v="2"/>
    <x v="1"/>
    <s v="Monday"/>
    <x v="32"/>
    <n v="10"/>
  </r>
  <r>
    <s v="Paneer Patiz"/>
    <x v="4"/>
    <x v="25"/>
    <n v="20"/>
    <n v="25"/>
    <n v="11"/>
    <n v="7"/>
    <n v="4"/>
    <x v="1"/>
    <s v="Monday"/>
    <x v="33"/>
    <n v="20"/>
  </r>
  <r>
    <s v="Pao"/>
    <x v="5"/>
    <x v="26"/>
    <n v="25"/>
    <n v="30"/>
    <n v="7"/>
    <n v="0"/>
    <n v="7"/>
    <x v="1"/>
    <s v="Monday"/>
    <x v="24"/>
    <n v="35"/>
  </r>
  <r>
    <s v="Burger Buns"/>
    <x v="5"/>
    <x v="27"/>
    <n v="25"/>
    <n v="30"/>
    <n v="10"/>
    <n v="4"/>
    <n v="6"/>
    <x v="1"/>
    <s v="Monday"/>
    <x v="34"/>
    <n v="30"/>
  </r>
  <r>
    <s v="Pizza Base"/>
    <x v="5"/>
    <x v="28"/>
    <n v="25"/>
    <n v="30"/>
    <n v="5"/>
    <n v="0"/>
    <n v="5"/>
    <x v="1"/>
    <s v="Monday"/>
    <x v="22"/>
    <n v="25"/>
  </r>
  <r>
    <s v="Brown Bread"/>
    <x v="5"/>
    <x v="29"/>
    <n v="30"/>
    <n v="35"/>
    <n v="4"/>
    <n v="0"/>
    <n v="4"/>
    <x v="1"/>
    <s v="Monday"/>
    <x v="25"/>
    <n v="20"/>
  </r>
  <r>
    <s v="Pineapple"/>
    <x v="0"/>
    <x v="0"/>
    <n v="100"/>
    <n v="200"/>
    <n v="3"/>
    <n v="2"/>
    <n v="1"/>
    <x v="2"/>
    <s v="Tuesday"/>
    <x v="19"/>
    <n v="100"/>
  </r>
  <r>
    <s v="Chocolate Truffle"/>
    <x v="0"/>
    <x v="1"/>
    <n v="200"/>
    <n v="300"/>
    <n v="0"/>
    <n v="0"/>
    <n v="0"/>
    <x v="2"/>
    <s v="Tuesday"/>
    <x v="17"/>
    <n v="0"/>
  </r>
  <r>
    <s v="Black Forest"/>
    <x v="0"/>
    <x v="2"/>
    <n v="150"/>
    <n v="250"/>
    <n v="0"/>
    <n v="0"/>
    <n v="0"/>
    <x v="2"/>
    <s v="Tuesday"/>
    <x v="17"/>
    <n v="0"/>
  </r>
  <r>
    <s v="Butter Scotch"/>
    <x v="0"/>
    <x v="3"/>
    <n v="100"/>
    <n v="200"/>
    <n v="1"/>
    <n v="1"/>
    <n v="0"/>
    <x v="2"/>
    <s v="Tuesday"/>
    <x v="17"/>
    <n v="0"/>
  </r>
  <r>
    <s v="Pineapple"/>
    <x v="1"/>
    <x v="4"/>
    <n v="250"/>
    <n v="350"/>
    <n v="1"/>
    <n v="1"/>
    <n v="0"/>
    <x v="2"/>
    <s v="Tuesday"/>
    <x v="17"/>
    <n v="0"/>
  </r>
  <r>
    <s v="Chocolate Truffle"/>
    <x v="1"/>
    <x v="5"/>
    <n v="300"/>
    <n v="400"/>
    <n v="1"/>
    <n v="1"/>
    <n v="0"/>
    <x v="2"/>
    <s v="Tuesday"/>
    <x v="17"/>
    <n v="0"/>
  </r>
  <r>
    <s v="Black Forest"/>
    <x v="1"/>
    <x v="6"/>
    <n v="250"/>
    <n v="350"/>
    <n v="2"/>
    <n v="2"/>
    <n v="0"/>
    <x v="2"/>
    <s v="Tuesday"/>
    <x v="17"/>
    <n v="0"/>
  </r>
  <r>
    <s v="Butter Scotch"/>
    <x v="1"/>
    <x v="7"/>
    <n v="250"/>
    <n v="350"/>
    <n v="2"/>
    <n v="1"/>
    <n v="1"/>
    <x v="2"/>
    <s v="Tuesday"/>
    <x v="7"/>
    <n v="100"/>
  </r>
  <r>
    <s v="Chocochip"/>
    <x v="1"/>
    <x v="8"/>
    <n v="300"/>
    <n v="450"/>
    <n v="0"/>
    <n v="0"/>
    <n v="0"/>
    <x v="2"/>
    <s v="Tuesday"/>
    <x v="17"/>
    <n v="0"/>
  </r>
  <r>
    <s v="Fruit Cake(400gram)"/>
    <x v="2"/>
    <x v="9"/>
    <n v="320"/>
    <n v="400"/>
    <n v="2"/>
    <n v="2"/>
    <n v="0"/>
    <x v="2"/>
    <s v="Tuesday"/>
    <x v="17"/>
    <n v="0"/>
  </r>
  <r>
    <s v="Fruit Cake(200gram)"/>
    <x v="2"/>
    <x v="10"/>
    <n v="100"/>
    <n v="150"/>
    <n v="0"/>
    <n v="0"/>
    <n v="0"/>
    <x v="2"/>
    <s v="Tuesday"/>
    <x v="17"/>
    <n v="0"/>
  </r>
  <r>
    <s v="Pineapple"/>
    <x v="3"/>
    <x v="11"/>
    <n v="25"/>
    <n v="40"/>
    <n v="5"/>
    <n v="4"/>
    <n v="1"/>
    <x v="2"/>
    <s v="Tuesday"/>
    <x v="35"/>
    <n v="15"/>
  </r>
  <r>
    <s v="Chocolate Truffle"/>
    <x v="3"/>
    <x v="12"/>
    <n v="30"/>
    <n v="50"/>
    <n v="6"/>
    <n v="2"/>
    <n v="4"/>
    <x v="2"/>
    <s v="Tuesday"/>
    <x v="19"/>
    <n v="80"/>
  </r>
  <r>
    <s v="Butter Scotch"/>
    <x v="3"/>
    <x v="13"/>
    <n v="25"/>
    <n v="40"/>
    <n v="7"/>
    <n v="4"/>
    <n v="3"/>
    <x v="2"/>
    <s v="Tuesday"/>
    <x v="28"/>
    <n v="45"/>
  </r>
  <r>
    <s v="Black Forest"/>
    <x v="3"/>
    <x v="14"/>
    <n v="25"/>
    <n v="40"/>
    <n v="5"/>
    <n v="2"/>
    <n v="3"/>
    <x v="2"/>
    <s v="Tuesday"/>
    <x v="28"/>
    <n v="45"/>
  </r>
  <r>
    <s v="Chocochip"/>
    <x v="3"/>
    <x v="15"/>
    <n v="30"/>
    <n v="55"/>
    <n v="8"/>
    <n v="3"/>
    <n v="5"/>
    <x v="2"/>
    <s v="Tuesday"/>
    <x v="36"/>
    <n v="125"/>
  </r>
  <r>
    <s v="Bonfire"/>
    <x v="3"/>
    <x v="16"/>
    <n v="40"/>
    <n v="65"/>
    <n v="2"/>
    <n v="0"/>
    <n v="2"/>
    <x v="2"/>
    <s v="Tuesday"/>
    <x v="37"/>
    <n v="50"/>
  </r>
  <r>
    <s v="Choco Lava"/>
    <x v="3"/>
    <x v="17"/>
    <n v="50"/>
    <n v="70"/>
    <n v="4"/>
    <n v="3"/>
    <n v="1"/>
    <x v="2"/>
    <s v="Tuesday"/>
    <x v="20"/>
    <n v="20"/>
  </r>
  <r>
    <s v="Cupcakes"/>
    <x v="3"/>
    <x v="18"/>
    <n v="20"/>
    <n v="30"/>
    <n v="22"/>
    <n v="19"/>
    <n v="3"/>
    <x v="2"/>
    <s v="Tuesday"/>
    <x v="38"/>
    <n v="30"/>
  </r>
  <r>
    <s v="Muffins"/>
    <x v="3"/>
    <x v="19"/>
    <n v="10"/>
    <n v="20"/>
    <n v="6"/>
    <n v="6"/>
    <n v="0"/>
    <x v="2"/>
    <s v="Tuesday"/>
    <x v="17"/>
    <n v="0"/>
  </r>
  <r>
    <s v="Jar Cakes"/>
    <x v="3"/>
    <x v="20"/>
    <n v="60"/>
    <n v="100"/>
    <n v="5"/>
    <n v="5"/>
    <n v="0"/>
    <x v="2"/>
    <s v="Tuesday"/>
    <x v="17"/>
    <n v="0"/>
  </r>
  <r>
    <s v="Paneer Sandwich"/>
    <x v="4"/>
    <x v="21"/>
    <n v="50"/>
    <n v="70"/>
    <n v="6"/>
    <n v="5"/>
    <n v="1"/>
    <x v="2"/>
    <s v="Tuesday"/>
    <x v="20"/>
    <n v="20"/>
  </r>
  <r>
    <s v="Hotdog"/>
    <x v="4"/>
    <x v="22"/>
    <n v="45"/>
    <n v="65"/>
    <n v="4"/>
    <n v="4"/>
    <n v="0"/>
    <x v="2"/>
    <s v="Tuesday"/>
    <x v="17"/>
    <n v="0"/>
  </r>
  <r>
    <s v="Paneer Roll"/>
    <x v="4"/>
    <x v="23"/>
    <n v="50"/>
    <n v="70"/>
    <n v="3"/>
    <n v="3"/>
    <n v="0"/>
    <x v="2"/>
    <s v="Tuesday"/>
    <x v="17"/>
    <n v="0"/>
  </r>
  <r>
    <s v="Aloo Patiz"/>
    <x v="4"/>
    <x v="24"/>
    <n v="10"/>
    <n v="15"/>
    <n v="8"/>
    <n v="6"/>
    <n v="2"/>
    <x v="2"/>
    <s v="Tuesday"/>
    <x v="32"/>
    <n v="10"/>
  </r>
  <r>
    <s v="Paneer Patiz"/>
    <x v="4"/>
    <x v="25"/>
    <n v="20"/>
    <n v="25"/>
    <n v="7"/>
    <n v="6"/>
    <n v="1"/>
    <x v="2"/>
    <s v="Tuesday"/>
    <x v="39"/>
    <n v="5"/>
  </r>
  <r>
    <s v="Pao"/>
    <x v="5"/>
    <x v="26"/>
    <n v="25"/>
    <n v="30"/>
    <n v="0"/>
    <n v="0"/>
    <n v="0"/>
    <x v="2"/>
    <s v="Tuesday"/>
    <x v="17"/>
    <n v="0"/>
  </r>
  <r>
    <s v="Burger Buns"/>
    <x v="5"/>
    <x v="27"/>
    <n v="25"/>
    <n v="30"/>
    <n v="6"/>
    <n v="5"/>
    <n v="1"/>
    <x v="2"/>
    <s v="Tuesday"/>
    <x v="32"/>
    <n v="5"/>
  </r>
  <r>
    <s v="Pizza Base"/>
    <x v="5"/>
    <x v="28"/>
    <n v="25"/>
    <n v="30"/>
    <n v="0"/>
    <n v="0"/>
    <n v="0"/>
    <x v="2"/>
    <s v="Tuesday"/>
    <x v="17"/>
    <n v="0"/>
  </r>
  <r>
    <s v="Brown Bread"/>
    <x v="5"/>
    <x v="29"/>
    <n v="30"/>
    <n v="35"/>
    <n v="0"/>
    <n v="0"/>
    <n v="0"/>
    <x v="2"/>
    <s v="Tuesday"/>
    <x v="17"/>
    <n v="0"/>
  </r>
  <r>
    <s v="Pineapple"/>
    <x v="0"/>
    <x v="0"/>
    <n v="100"/>
    <n v="200"/>
    <n v="3"/>
    <n v="2"/>
    <n v="1"/>
    <x v="3"/>
    <s v="Wednesday"/>
    <x v="19"/>
    <n v="100"/>
  </r>
  <r>
    <s v="Chocolate Truffle"/>
    <x v="0"/>
    <x v="1"/>
    <n v="200"/>
    <n v="300"/>
    <n v="3"/>
    <n v="1"/>
    <n v="2"/>
    <x v="3"/>
    <s v="Wednesday"/>
    <x v="3"/>
    <n v="200"/>
  </r>
  <r>
    <s v="Black Forest"/>
    <x v="0"/>
    <x v="2"/>
    <n v="150"/>
    <n v="250"/>
    <n v="2"/>
    <n v="2"/>
    <n v="0"/>
    <x v="3"/>
    <s v="Wednesday"/>
    <x v="17"/>
    <n v="0"/>
  </r>
  <r>
    <s v="Butter Scotch"/>
    <x v="0"/>
    <x v="3"/>
    <n v="100"/>
    <n v="200"/>
    <n v="2"/>
    <n v="1"/>
    <n v="1"/>
    <x v="3"/>
    <s v="Wednesday"/>
    <x v="19"/>
    <n v="100"/>
  </r>
  <r>
    <s v="Pineapple"/>
    <x v="1"/>
    <x v="4"/>
    <n v="250"/>
    <n v="350"/>
    <n v="3"/>
    <n v="1"/>
    <n v="2"/>
    <x v="3"/>
    <s v="Wednesday"/>
    <x v="4"/>
    <n v="200"/>
  </r>
  <r>
    <s v="Chocolate Truffle"/>
    <x v="1"/>
    <x v="5"/>
    <n v="300"/>
    <n v="400"/>
    <n v="1"/>
    <n v="1"/>
    <n v="0"/>
    <x v="3"/>
    <s v="Wednesday"/>
    <x v="17"/>
    <n v="0"/>
  </r>
  <r>
    <s v="Black Forest"/>
    <x v="1"/>
    <x v="6"/>
    <n v="250"/>
    <n v="350"/>
    <n v="2"/>
    <n v="1"/>
    <n v="1"/>
    <x v="3"/>
    <s v="Wednesday"/>
    <x v="7"/>
    <n v="100"/>
  </r>
  <r>
    <s v="Butter Scotch"/>
    <x v="1"/>
    <x v="7"/>
    <n v="250"/>
    <n v="350"/>
    <n v="2"/>
    <n v="2"/>
    <n v="0"/>
    <x v="3"/>
    <s v="Wednesday"/>
    <x v="17"/>
    <n v="0"/>
  </r>
  <r>
    <s v="Chocochip"/>
    <x v="1"/>
    <x v="8"/>
    <n v="300"/>
    <n v="450"/>
    <n v="4"/>
    <n v="1"/>
    <n v="3"/>
    <x v="3"/>
    <s v="Wednesday"/>
    <x v="27"/>
    <n v="450"/>
  </r>
  <r>
    <s v="Fruit Cake(400gram)"/>
    <x v="2"/>
    <x v="9"/>
    <n v="320"/>
    <n v="400"/>
    <n v="2"/>
    <n v="1"/>
    <n v="1"/>
    <x v="3"/>
    <s v="Wednesday"/>
    <x v="0"/>
    <n v="80"/>
  </r>
  <r>
    <s v="Fruit Cake(200gram)"/>
    <x v="2"/>
    <x v="10"/>
    <n v="100"/>
    <n v="150"/>
    <n v="0"/>
    <n v="0"/>
    <n v="0"/>
    <x v="3"/>
    <s v="Wednesday"/>
    <x v="17"/>
    <n v="0"/>
  </r>
  <r>
    <s v="Pineapple"/>
    <x v="3"/>
    <x v="11"/>
    <n v="25"/>
    <n v="40"/>
    <n v="1"/>
    <n v="0"/>
    <n v="1"/>
    <x v="3"/>
    <s v="Wednesday"/>
    <x v="35"/>
    <n v="15"/>
  </r>
  <r>
    <s v="Chocolate Truffle"/>
    <x v="3"/>
    <x v="12"/>
    <n v="30"/>
    <n v="50"/>
    <n v="2"/>
    <n v="0"/>
    <n v="2"/>
    <x v="3"/>
    <s v="Wednesday"/>
    <x v="33"/>
    <n v="40"/>
  </r>
  <r>
    <s v="Butter Scotch"/>
    <x v="3"/>
    <x v="13"/>
    <n v="25"/>
    <n v="40"/>
    <n v="5"/>
    <n v="0"/>
    <n v="5"/>
    <x v="3"/>
    <s v="Wednesday"/>
    <x v="19"/>
    <n v="75"/>
  </r>
  <r>
    <s v="Black Forest"/>
    <x v="3"/>
    <x v="14"/>
    <n v="25"/>
    <n v="40"/>
    <n v="9"/>
    <n v="2"/>
    <n v="7"/>
    <x v="3"/>
    <s v="Wednesday"/>
    <x v="29"/>
    <n v="105"/>
  </r>
  <r>
    <s v="Chocochip"/>
    <x v="3"/>
    <x v="15"/>
    <n v="30"/>
    <n v="55"/>
    <n v="3"/>
    <n v="0"/>
    <n v="3"/>
    <x v="3"/>
    <s v="Wednesday"/>
    <x v="40"/>
    <n v="75"/>
  </r>
  <r>
    <s v="Bonfire"/>
    <x v="3"/>
    <x v="16"/>
    <n v="40"/>
    <n v="65"/>
    <n v="0"/>
    <n v="0"/>
    <n v="0"/>
    <x v="3"/>
    <s v="Wednesday"/>
    <x v="17"/>
    <n v="0"/>
  </r>
  <r>
    <s v="Choco Lava"/>
    <x v="3"/>
    <x v="17"/>
    <n v="50"/>
    <n v="70"/>
    <n v="3"/>
    <n v="3"/>
    <n v="0"/>
    <x v="3"/>
    <s v="Wednesday"/>
    <x v="17"/>
    <n v="0"/>
  </r>
  <r>
    <s v="Cupcakes"/>
    <x v="3"/>
    <x v="18"/>
    <n v="20"/>
    <n v="30"/>
    <n v="19"/>
    <n v="16"/>
    <n v="3"/>
    <x v="3"/>
    <s v="Wednesday"/>
    <x v="38"/>
    <n v="30"/>
  </r>
  <r>
    <s v="Muffins"/>
    <x v="3"/>
    <x v="19"/>
    <n v="10"/>
    <n v="20"/>
    <n v="6"/>
    <n v="6"/>
    <n v="0"/>
    <x v="3"/>
    <s v="Wednesday"/>
    <x v="17"/>
    <n v="0"/>
  </r>
  <r>
    <s v="Jar Cakes"/>
    <x v="3"/>
    <x v="20"/>
    <n v="60"/>
    <n v="100"/>
    <n v="5"/>
    <n v="5"/>
    <n v="0"/>
    <x v="3"/>
    <s v="Wednesday"/>
    <x v="17"/>
    <n v="0"/>
  </r>
  <r>
    <s v="Paneer Sandwich"/>
    <x v="4"/>
    <x v="21"/>
    <n v="50"/>
    <n v="70"/>
    <n v="5"/>
    <n v="5"/>
    <n v="0"/>
    <x v="3"/>
    <s v="Wednesday"/>
    <x v="17"/>
    <n v="0"/>
  </r>
  <r>
    <s v="Hotdog"/>
    <x v="4"/>
    <x v="22"/>
    <n v="45"/>
    <n v="65"/>
    <n v="4"/>
    <n v="4"/>
    <n v="0"/>
    <x v="3"/>
    <s v="Wednesday"/>
    <x v="17"/>
    <n v="0"/>
  </r>
  <r>
    <s v="Paneer Roll"/>
    <x v="4"/>
    <x v="23"/>
    <n v="50"/>
    <n v="70"/>
    <n v="3"/>
    <n v="3"/>
    <n v="0"/>
    <x v="3"/>
    <s v="Wednesday"/>
    <x v="17"/>
    <n v="0"/>
  </r>
  <r>
    <s v="Aloo Patiz"/>
    <x v="4"/>
    <x v="24"/>
    <n v="10"/>
    <n v="15"/>
    <n v="6"/>
    <n v="4"/>
    <n v="2"/>
    <x v="3"/>
    <s v="Wednesday"/>
    <x v="32"/>
    <n v="10"/>
  </r>
  <r>
    <s v="Paneer Patiz"/>
    <x v="4"/>
    <x v="25"/>
    <n v="20"/>
    <n v="25"/>
    <n v="6"/>
    <n v="4"/>
    <n v="2"/>
    <x v="3"/>
    <s v="Wednesday"/>
    <x v="41"/>
    <n v="10"/>
  </r>
  <r>
    <s v="Pao"/>
    <x v="5"/>
    <x v="26"/>
    <n v="25"/>
    <n v="30"/>
    <n v="10"/>
    <n v="10"/>
    <n v="0"/>
    <x v="3"/>
    <s v="Wednesday"/>
    <x v="17"/>
    <n v="0"/>
  </r>
  <r>
    <s v="Burger Buns"/>
    <x v="5"/>
    <x v="27"/>
    <n v="25"/>
    <n v="30"/>
    <n v="10"/>
    <n v="8"/>
    <n v="2"/>
    <x v="3"/>
    <s v="Wednesday"/>
    <x v="42"/>
    <n v="10"/>
  </r>
  <r>
    <s v="Pizza Base"/>
    <x v="5"/>
    <x v="28"/>
    <n v="25"/>
    <n v="30"/>
    <n v="5"/>
    <n v="3"/>
    <n v="2"/>
    <x v="3"/>
    <s v="Wednesday"/>
    <x v="42"/>
    <n v="10"/>
  </r>
  <r>
    <s v="Brown Bread"/>
    <x v="5"/>
    <x v="29"/>
    <n v="30"/>
    <n v="35"/>
    <n v="5"/>
    <n v="3"/>
    <n v="2"/>
    <x v="3"/>
    <s v="Wednesday"/>
    <x v="20"/>
    <n v="10"/>
  </r>
  <r>
    <s v="Pineapple"/>
    <x v="0"/>
    <x v="0"/>
    <n v="100"/>
    <n v="200"/>
    <n v="2"/>
    <n v="2"/>
    <n v="0"/>
    <x v="4"/>
    <s v="Thursday"/>
    <x v="17"/>
    <n v="0"/>
  </r>
  <r>
    <s v="Chocolate Truffle"/>
    <x v="0"/>
    <x v="1"/>
    <n v="200"/>
    <n v="300"/>
    <n v="2"/>
    <n v="2"/>
    <n v="0"/>
    <x v="4"/>
    <s v="Thursday"/>
    <x v="17"/>
    <n v="0"/>
  </r>
  <r>
    <s v="Black Forest"/>
    <x v="0"/>
    <x v="2"/>
    <n v="150"/>
    <n v="250"/>
    <n v="2"/>
    <n v="0"/>
    <n v="2"/>
    <x v="4"/>
    <s v="Thursday"/>
    <x v="12"/>
    <n v="200"/>
  </r>
  <r>
    <s v="Butter Scotch"/>
    <x v="0"/>
    <x v="3"/>
    <n v="100"/>
    <n v="200"/>
    <n v="1"/>
    <n v="1"/>
    <n v="0"/>
    <x v="4"/>
    <s v="Thursday"/>
    <x v="17"/>
    <n v="0"/>
  </r>
  <r>
    <s v="Pineapple"/>
    <x v="1"/>
    <x v="4"/>
    <n v="250"/>
    <n v="350"/>
    <n v="3"/>
    <n v="3"/>
    <n v="0"/>
    <x v="4"/>
    <s v="Thursday"/>
    <x v="17"/>
    <n v="0"/>
  </r>
  <r>
    <s v="Chocolate Truffle"/>
    <x v="1"/>
    <x v="5"/>
    <n v="300"/>
    <n v="400"/>
    <n v="1"/>
    <n v="0"/>
    <n v="1"/>
    <x v="4"/>
    <s v="Thursday"/>
    <x v="0"/>
    <n v="100"/>
  </r>
  <r>
    <s v="Black Forest"/>
    <x v="1"/>
    <x v="6"/>
    <n v="250"/>
    <n v="350"/>
    <n v="1"/>
    <n v="1"/>
    <n v="0"/>
    <x v="4"/>
    <s v="Thursday"/>
    <x v="17"/>
    <n v="0"/>
  </r>
  <r>
    <s v="Butter Scotch"/>
    <x v="1"/>
    <x v="7"/>
    <n v="250"/>
    <n v="350"/>
    <n v="3"/>
    <n v="1"/>
    <n v="2"/>
    <x v="4"/>
    <s v="Thursday"/>
    <x v="4"/>
    <n v="200"/>
  </r>
  <r>
    <s v="Chocochip"/>
    <x v="1"/>
    <x v="8"/>
    <n v="300"/>
    <n v="450"/>
    <n v="1"/>
    <n v="1"/>
    <n v="0"/>
    <x v="4"/>
    <s v="Thursday"/>
    <x v="17"/>
    <n v="0"/>
  </r>
  <r>
    <s v="Fruit Cake(400gram)"/>
    <x v="2"/>
    <x v="9"/>
    <n v="320"/>
    <n v="400"/>
    <n v="1"/>
    <n v="1"/>
    <n v="0"/>
    <x v="4"/>
    <s v="Thursday"/>
    <x v="17"/>
    <n v="0"/>
  </r>
  <r>
    <s v="Fruit Cake(200gram)"/>
    <x v="2"/>
    <x v="10"/>
    <n v="100"/>
    <n v="150"/>
    <n v="0"/>
    <n v="0"/>
    <n v="0"/>
    <x v="4"/>
    <s v="Thursday"/>
    <x v="17"/>
    <n v="0"/>
  </r>
  <r>
    <s v="Pineapple"/>
    <x v="3"/>
    <x v="11"/>
    <n v="25"/>
    <n v="40"/>
    <n v="18"/>
    <n v="5"/>
    <n v="13"/>
    <x v="4"/>
    <s v="Thursday"/>
    <x v="43"/>
    <n v="195"/>
  </r>
  <r>
    <s v="Chocolate Truffle"/>
    <x v="3"/>
    <x v="12"/>
    <n v="30"/>
    <n v="50"/>
    <n v="7"/>
    <n v="5"/>
    <n v="2"/>
    <x v="4"/>
    <s v="Thursday"/>
    <x v="33"/>
    <n v="40"/>
  </r>
  <r>
    <s v="Butter Scotch"/>
    <x v="3"/>
    <x v="13"/>
    <n v="25"/>
    <n v="40"/>
    <n v="0"/>
    <n v="0"/>
    <n v="0"/>
    <x v="4"/>
    <s v="Thursday"/>
    <x v="17"/>
    <n v="0"/>
  </r>
  <r>
    <s v="Black Forest"/>
    <x v="3"/>
    <x v="14"/>
    <n v="25"/>
    <n v="40"/>
    <n v="2"/>
    <n v="0"/>
    <n v="2"/>
    <x v="4"/>
    <s v="Thursday"/>
    <x v="44"/>
    <n v="30"/>
  </r>
  <r>
    <s v="Chocochip"/>
    <x v="3"/>
    <x v="15"/>
    <n v="30"/>
    <n v="55"/>
    <n v="7"/>
    <n v="6"/>
    <n v="1"/>
    <x v="4"/>
    <s v="Thursday"/>
    <x v="30"/>
    <n v="25"/>
  </r>
  <r>
    <s v="Bonfire"/>
    <x v="3"/>
    <x v="16"/>
    <n v="40"/>
    <n v="65"/>
    <n v="0"/>
    <n v="0"/>
    <n v="0"/>
    <x v="4"/>
    <s v="Thursday"/>
    <x v="17"/>
    <n v="0"/>
  </r>
  <r>
    <s v="Choco Lava"/>
    <x v="3"/>
    <x v="17"/>
    <n v="50"/>
    <n v="70"/>
    <n v="3"/>
    <n v="3"/>
    <n v="0"/>
    <x v="4"/>
    <s v="Thursday"/>
    <x v="17"/>
    <n v="0"/>
  </r>
  <r>
    <s v="Cupcakes"/>
    <x v="3"/>
    <x v="18"/>
    <n v="20"/>
    <n v="30"/>
    <n v="16"/>
    <n v="12"/>
    <n v="4"/>
    <x v="4"/>
    <s v="Thursday"/>
    <x v="28"/>
    <n v="40"/>
  </r>
  <r>
    <s v="Muffins"/>
    <x v="3"/>
    <x v="19"/>
    <n v="10"/>
    <n v="20"/>
    <n v="6"/>
    <n v="6"/>
    <n v="0"/>
    <x v="4"/>
    <s v="Thursday"/>
    <x v="17"/>
    <n v="0"/>
  </r>
  <r>
    <s v="Jar Cakes"/>
    <x v="3"/>
    <x v="20"/>
    <n v="60"/>
    <n v="100"/>
    <n v="5"/>
    <n v="5"/>
    <n v="0"/>
    <x v="4"/>
    <s v="Thursday"/>
    <x v="17"/>
    <n v="0"/>
  </r>
  <r>
    <s v="Paneer Sandwich"/>
    <x v="4"/>
    <x v="21"/>
    <n v="50"/>
    <n v="70"/>
    <n v="5"/>
    <n v="5"/>
    <n v="0"/>
    <x v="4"/>
    <s v="Thursday"/>
    <x v="17"/>
    <n v="0"/>
  </r>
  <r>
    <s v="Hotdog"/>
    <x v="4"/>
    <x v="22"/>
    <n v="45"/>
    <n v="65"/>
    <n v="4"/>
    <n v="4"/>
    <n v="0"/>
    <x v="4"/>
    <s v="Thursday"/>
    <x v="17"/>
    <n v="0"/>
  </r>
  <r>
    <s v="Paneer Roll"/>
    <x v="4"/>
    <x v="23"/>
    <n v="50"/>
    <n v="70"/>
    <n v="3"/>
    <n v="3"/>
    <n v="0"/>
    <x v="4"/>
    <s v="Thursday"/>
    <x v="17"/>
    <n v="0"/>
  </r>
  <r>
    <s v="Aloo Patiz"/>
    <x v="4"/>
    <x v="24"/>
    <n v="10"/>
    <n v="15"/>
    <n v="9"/>
    <n v="5"/>
    <n v="4"/>
    <x v="4"/>
    <s v="Thursday"/>
    <x v="42"/>
    <n v="20"/>
  </r>
  <r>
    <s v="Paneer Patiz"/>
    <x v="4"/>
    <x v="25"/>
    <n v="20"/>
    <n v="25"/>
    <n v="9"/>
    <n v="7"/>
    <n v="2"/>
    <x v="4"/>
    <s v="Thursday"/>
    <x v="41"/>
    <n v="10"/>
  </r>
  <r>
    <s v="Pao"/>
    <x v="5"/>
    <x v="26"/>
    <n v="25"/>
    <n v="30"/>
    <n v="10"/>
    <n v="3"/>
    <n v="7"/>
    <x v="4"/>
    <s v="Thursday"/>
    <x v="24"/>
    <n v="35"/>
  </r>
  <r>
    <s v="Burger Buns"/>
    <x v="5"/>
    <x v="27"/>
    <n v="25"/>
    <n v="30"/>
    <n v="8"/>
    <n v="7"/>
    <n v="1"/>
    <x v="4"/>
    <s v="Thursday"/>
    <x v="32"/>
    <n v="5"/>
  </r>
  <r>
    <s v="Pizza Base"/>
    <x v="5"/>
    <x v="28"/>
    <n v="25"/>
    <n v="30"/>
    <n v="3"/>
    <n v="0"/>
    <n v="3"/>
    <x v="4"/>
    <s v="Thursday"/>
    <x v="38"/>
    <n v="15"/>
  </r>
  <r>
    <s v="Brown Bread"/>
    <x v="5"/>
    <x v="29"/>
    <n v="30"/>
    <n v="35"/>
    <n v="3"/>
    <n v="0"/>
    <n v="3"/>
    <x v="4"/>
    <s v="Thursday"/>
    <x v="45"/>
    <n v="15"/>
  </r>
  <r>
    <s v="Pineapple"/>
    <x v="0"/>
    <x v="0"/>
    <n v="100"/>
    <n v="200"/>
    <n v="11"/>
    <n v="9"/>
    <n v="2"/>
    <x v="5"/>
    <s v="Friday"/>
    <x v="0"/>
    <n v="200"/>
  </r>
  <r>
    <s v="Chocolate Truffle"/>
    <x v="0"/>
    <x v="1"/>
    <n v="200"/>
    <n v="300"/>
    <n v="4"/>
    <n v="2"/>
    <n v="2"/>
    <x v="5"/>
    <s v="Friday"/>
    <x v="3"/>
    <n v="200"/>
  </r>
  <r>
    <s v="Black Forest"/>
    <x v="0"/>
    <x v="2"/>
    <n v="150"/>
    <n v="250"/>
    <n v="1"/>
    <n v="1"/>
    <n v="0"/>
    <x v="5"/>
    <s v="Friday"/>
    <x v="17"/>
    <n v="0"/>
  </r>
  <r>
    <s v="Butter Scotch"/>
    <x v="0"/>
    <x v="3"/>
    <n v="100"/>
    <n v="200"/>
    <n v="9"/>
    <n v="8"/>
    <n v="1"/>
    <x v="5"/>
    <s v="Friday"/>
    <x v="19"/>
    <n v="100"/>
  </r>
  <r>
    <s v="Pineapple"/>
    <x v="1"/>
    <x v="4"/>
    <n v="250"/>
    <n v="350"/>
    <n v="7"/>
    <n v="2"/>
    <n v="5"/>
    <x v="5"/>
    <s v="Friday"/>
    <x v="46"/>
    <n v="500"/>
  </r>
  <r>
    <s v="Chocolate Truffle"/>
    <x v="1"/>
    <x v="5"/>
    <n v="300"/>
    <n v="400"/>
    <n v="0"/>
    <n v="0"/>
    <n v="0"/>
    <x v="5"/>
    <s v="Friday"/>
    <x v="17"/>
    <n v="0"/>
  </r>
  <r>
    <s v="Black Forest"/>
    <x v="1"/>
    <x v="6"/>
    <n v="250"/>
    <n v="350"/>
    <n v="5"/>
    <n v="0"/>
    <n v="5"/>
    <x v="5"/>
    <s v="Friday"/>
    <x v="46"/>
    <n v="500"/>
  </r>
  <r>
    <s v="Butter Scotch"/>
    <x v="1"/>
    <x v="7"/>
    <n v="250"/>
    <n v="350"/>
    <n v="6"/>
    <n v="2"/>
    <n v="4"/>
    <x v="5"/>
    <s v="Friday"/>
    <x v="6"/>
    <n v="400"/>
  </r>
  <r>
    <s v="Chocochip"/>
    <x v="1"/>
    <x v="8"/>
    <n v="300"/>
    <n v="450"/>
    <n v="3"/>
    <n v="1"/>
    <n v="2"/>
    <x v="5"/>
    <s v="Friday"/>
    <x v="1"/>
    <n v="300"/>
  </r>
  <r>
    <s v="Fruit Cake(400gram)"/>
    <x v="2"/>
    <x v="9"/>
    <n v="320"/>
    <n v="400"/>
    <n v="2"/>
    <n v="2"/>
    <n v="0"/>
    <x v="5"/>
    <s v="Friday"/>
    <x v="17"/>
    <n v="0"/>
  </r>
  <r>
    <s v="Fruit Cake(200gram)"/>
    <x v="2"/>
    <x v="10"/>
    <n v="100"/>
    <n v="150"/>
    <n v="10"/>
    <n v="9"/>
    <n v="1"/>
    <x v="5"/>
    <s v="Friday"/>
    <x v="22"/>
    <n v="50"/>
  </r>
  <r>
    <s v="Pineapple"/>
    <x v="3"/>
    <x v="11"/>
    <n v="25"/>
    <n v="40"/>
    <n v="25"/>
    <n v="19"/>
    <n v="6"/>
    <x v="5"/>
    <s v="Friday"/>
    <x v="47"/>
    <n v="90"/>
  </r>
  <r>
    <s v="Chocolate Truffle"/>
    <x v="3"/>
    <x v="12"/>
    <n v="30"/>
    <n v="50"/>
    <n v="21"/>
    <n v="14"/>
    <n v="7"/>
    <x v="5"/>
    <s v="Friday"/>
    <x v="7"/>
    <n v="140"/>
  </r>
  <r>
    <s v="Butter Scotch"/>
    <x v="3"/>
    <x v="13"/>
    <n v="25"/>
    <n v="40"/>
    <n v="20"/>
    <n v="12"/>
    <n v="8"/>
    <x v="5"/>
    <s v="Friday"/>
    <x v="48"/>
    <n v="120"/>
  </r>
  <r>
    <s v="Black Forest"/>
    <x v="3"/>
    <x v="14"/>
    <n v="25"/>
    <n v="40"/>
    <n v="32"/>
    <n v="22"/>
    <n v="10"/>
    <x v="5"/>
    <s v="Friday"/>
    <x v="0"/>
    <n v="150"/>
  </r>
  <r>
    <s v="Chocochip"/>
    <x v="3"/>
    <x v="15"/>
    <n v="30"/>
    <n v="55"/>
    <n v="30"/>
    <n v="25"/>
    <n v="5"/>
    <x v="5"/>
    <s v="Friday"/>
    <x v="36"/>
    <n v="125"/>
  </r>
  <r>
    <s v="Bonfire"/>
    <x v="3"/>
    <x v="16"/>
    <n v="40"/>
    <n v="65"/>
    <n v="20"/>
    <n v="10"/>
    <n v="10"/>
    <x v="5"/>
    <s v="Friday"/>
    <x v="31"/>
    <n v="250"/>
  </r>
  <r>
    <s v="Choco Lava"/>
    <x v="3"/>
    <x v="17"/>
    <n v="50"/>
    <n v="70"/>
    <n v="3"/>
    <n v="2"/>
    <n v="1"/>
    <x v="5"/>
    <s v="Friday"/>
    <x v="20"/>
    <n v="20"/>
  </r>
  <r>
    <s v="Cupcakes"/>
    <x v="3"/>
    <x v="18"/>
    <n v="20"/>
    <n v="30"/>
    <n v="57"/>
    <n v="45"/>
    <n v="12"/>
    <x v="5"/>
    <s v="Friday"/>
    <x v="23"/>
    <n v="120"/>
  </r>
  <r>
    <s v="Muffins"/>
    <x v="3"/>
    <x v="19"/>
    <n v="10"/>
    <n v="20"/>
    <n v="6"/>
    <n v="4"/>
    <n v="2"/>
    <x v="5"/>
    <s v="Friday"/>
    <x v="35"/>
    <n v="20"/>
  </r>
  <r>
    <s v="Jar Cakes"/>
    <x v="3"/>
    <x v="20"/>
    <n v="60"/>
    <n v="100"/>
    <n v="22"/>
    <n v="6"/>
    <n v="16"/>
    <x v="5"/>
    <s v="Friday"/>
    <x v="5"/>
    <n v="640"/>
  </r>
  <r>
    <s v="Paneer Sandwich"/>
    <x v="4"/>
    <x v="21"/>
    <n v="50"/>
    <n v="70"/>
    <n v="5"/>
    <n v="5"/>
    <n v="0"/>
    <x v="5"/>
    <s v="Friday"/>
    <x v="17"/>
    <n v="0"/>
  </r>
  <r>
    <s v="Hotdog"/>
    <x v="4"/>
    <x v="22"/>
    <n v="45"/>
    <n v="65"/>
    <n v="4"/>
    <n v="4"/>
    <n v="0"/>
    <x v="5"/>
    <s v="Friday"/>
    <x v="17"/>
    <n v="0"/>
  </r>
  <r>
    <s v="Paneer Roll"/>
    <x v="4"/>
    <x v="23"/>
    <n v="50"/>
    <n v="70"/>
    <n v="3"/>
    <n v="3"/>
    <n v="0"/>
    <x v="5"/>
    <s v="Friday"/>
    <x v="17"/>
    <n v="0"/>
  </r>
  <r>
    <s v="Aloo Patiz"/>
    <x v="4"/>
    <x v="24"/>
    <n v="10"/>
    <n v="15"/>
    <n v="5"/>
    <n v="0"/>
    <n v="5"/>
    <x v="5"/>
    <s v="Friday"/>
    <x v="49"/>
    <n v="25"/>
  </r>
  <r>
    <s v="Paneer Patiz"/>
    <x v="4"/>
    <x v="25"/>
    <n v="20"/>
    <n v="25"/>
    <n v="7"/>
    <n v="3"/>
    <n v="4"/>
    <x v="5"/>
    <s v="Friday"/>
    <x v="33"/>
    <n v="20"/>
  </r>
  <r>
    <s v="Pao"/>
    <x v="5"/>
    <x v="26"/>
    <n v="25"/>
    <n v="30"/>
    <n v="18"/>
    <n v="16"/>
    <n v="2"/>
    <x v="5"/>
    <s v="Friday"/>
    <x v="42"/>
    <n v="10"/>
  </r>
  <r>
    <s v="Burger Buns"/>
    <x v="5"/>
    <x v="27"/>
    <n v="25"/>
    <n v="30"/>
    <n v="7"/>
    <n v="7"/>
    <n v="0"/>
    <x v="5"/>
    <s v="Friday"/>
    <x v="17"/>
    <n v="0"/>
  </r>
  <r>
    <s v="Pizza Base"/>
    <x v="5"/>
    <x v="28"/>
    <n v="25"/>
    <n v="30"/>
    <n v="5"/>
    <n v="0"/>
    <n v="5"/>
    <x v="5"/>
    <s v="Friday"/>
    <x v="22"/>
    <n v="25"/>
  </r>
  <r>
    <s v="Brown Bread"/>
    <x v="5"/>
    <x v="29"/>
    <n v="30"/>
    <n v="35"/>
    <n v="13"/>
    <n v="10"/>
    <n v="3"/>
    <x v="5"/>
    <s v="Friday"/>
    <x v="45"/>
    <n v="15"/>
  </r>
  <r>
    <s v="Pineapple"/>
    <x v="0"/>
    <x v="0"/>
    <n v="100"/>
    <n v="200"/>
    <n v="16"/>
    <n v="5"/>
    <n v="11"/>
    <x v="6"/>
    <s v="Saturday"/>
    <x v="50"/>
    <n v="1100"/>
  </r>
  <r>
    <s v="Chocolate Truffle"/>
    <x v="0"/>
    <x v="1"/>
    <n v="200"/>
    <n v="300"/>
    <n v="8"/>
    <n v="2"/>
    <n v="6"/>
    <x v="6"/>
    <s v="Saturday"/>
    <x v="51"/>
    <n v="600"/>
  </r>
  <r>
    <s v="Black Forest"/>
    <x v="0"/>
    <x v="2"/>
    <n v="150"/>
    <n v="250"/>
    <n v="6"/>
    <n v="3"/>
    <n v="3"/>
    <x v="6"/>
    <s v="Saturday"/>
    <x v="2"/>
    <n v="300"/>
  </r>
  <r>
    <s v="Butter Scotch"/>
    <x v="0"/>
    <x v="3"/>
    <n v="100"/>
    <n v="200"/>
    <n v="15"/>
    <n v="8"/>
    <n v="7"/>
    <x v="6"/>
    <s v="Saturday"/>
    <x v="6"/>
    <n v="700"/>
  </r>
  <r>
    <s v="Pineapple"/>
    <x v="1"/>
    <x v="4"/>
    <n v="250"/>
    <n v="350"/>
    <n v="15"/>
    <n v="4"/>
    <n v="11"/>
    <x v="6"/>
    <s v="Saturday"/>
    <x v="52"/>
    <n v="1100"/>
  </r>
  <r>
    <s v="Chocolate Truffle"/>
    <x v="1"/>
    <x v="5"/>
    <n v="300"/>
    <n v="400"/>
    <n v="2"/>
    <n v="1"/>
    <n v="1"/>
    <x v="6"/>
    <s v="Saturday"/>
    <x v="0"/>
    <n v="100"/>
  </r>
  <r>
    <s v="Black Forest"/>
    <x v="1"/>
    <x v="6"/>
    <n v="250"/>
    <n v="350"/>
    <n v="6"/>
    <n v="1"/>
    <n v="5"/>
    <x v="6"/>
    <s v="Saturday"/>
    <x v="46"/>
    <n v="500"/>
  </r>
  <r>
    <s v="Butter Scotch"/>
    <x v="1"/>
    <x v="7"/>
    <n v="250"/>
    <n v="350"/>
    <n v="13"/>
    <n v="2"/>
    <n v="11"/>
    <x v="6"/>
    <s v="Saturday"/>
    <x v="52"/>
    <n v="1100"/>
  </r>
  <r>
    <s v="Chocochip"/>
    <x v="1"/>
    <x v="8"/>
    <n v="300"/>
    <n v="450"/>
    <n v="6"/>
    <n v="3"/>
    <n v="3"/>
    <x v="6"/>
    <s v="Saturday"/>
    <x v="27"/>
    <n v="450"/>
  </r>
  <r>
    <s v="Fruit Cake(400gram)"/>
    <x v="2"/>
    <x v="9"/>
    <n v="320"/>
    <n v="400"/>
    <n v="2"/>
    <n v="0"/>
    <n v="2"/>
    <x v="6"/>
    <s v="Saturday"/>
    <x v="53"/>
    <n v="160"/>
  </r>
  <r>
    <s v="Fruit Cake(200gram)"/>
    <x v="2"/>
    <x v="10"/>
    <n v="100"/>
    <n v="150"/>
    <n v="10"/>
    <n v="3"/>
    <n v="7"/>
    <x v="6"/>
    <s v="Saturday"/>
    <x v="54"/>
    <n v="350"/>
  </r>
  <r>
    <s v="Pineapple"/>
    <x v="3"/>
    <x v="11"/>
    <n v="25"/>
    <n v="40"/>
    <n v="6"/>
    <n v="0"/>
    <n v="6"/>
    <x v="6"/>
    <s v="Saturday"/>
    <x v="47"/>
    <n v="90"/>
  </r>
  <r>
    <s v="Chocolate Truffle"/>
    <x v="3"/>
    <x v="12"/>
    <n v="30"/>
    <n v="50"/>
    <n v="7"/>
    <n v="4"/>
    <n v="3"/>
    <x v="6"/>
    <s v="Saturday"/>
    <x v="22"/>
    <n v="60"/>
  </r>
  <r>
    <s v="Butter Scotch"/>
    <x v="3"/>
    <x v="13"/>
    <n v="25"/>
    <n v="40"/>
    <n v="8"/>
    <n v="0"/>
    <n v="8"/>
    <x v="6"/>
    <s v="Saturday"/>
    <x v="48"/>
    <n v="120"/>
  </r>
  <r>
    <s v="Black Forest"/>
    <x v="3"/>
    <x v="14"/>
    <n v="25"/>
    <n v="40"/>
    <n v="10"/>
    <n v="0"/>
    <n v="10"/>
    <x v="6"/>
    <s v="Saturday"/>
    <x v="0"/>
    <n v="150"/>
  </r>
  <r>
    <s v="Chocochip"/>
    <x v="3"/>
    <x v="15"/>
    <n v="30"/>
    <n v="55"/>
    <n v="5"/>
    <n v="3"/>
    <n v="2"/>
    <x v="6"/>
    <s v="Saturday"/>
    <x v="55"/>
    <n v="50"/>
  </r>
  <r>
    <s v="Bonfire"/>
    <x v="3"/>
    <x v="16"/>
    <n v="40"/>
    <n v="65"/>
    <n v="10"/>
    <n v="6"/>
    <n v="4"/>
    <x v="6"/>
    <s v="Saturday"/>
    <x v="56"/>
    <n v="100"/>
  </r>
  <r>
    <s v="Choco Lava"/>
    <x v="3"/>
    <x v="17"/>
    <n v="50"/>
    <n v="70"/>
    <n v="1"/>
    <n v="0"/>
    <n v="1"/>
    <x v="6"/>
    <s v="Saturday"/>
    <x v="20"/>
    <n v="20"/>
  </r>
  <r>
    <s v="Cupcakes"/>
    <x v="3"/>
    <x v="18"/>
    <n v="20"/>
    <n v="30"/>
    <n v="1"/>
    <n v="0"/>
    <n v="1"/>
    <x v="6"/>
    <s v="Saturday"/>
    <x v="32"/>
    <n v="10"/>
  </r>
  <r>
    <s v="Muffins"/>
    <x v="3"/>
    <x v="19"/>
    <n v="10"/>
    <n v="20"/>
    <n v="4"/>
    <n v="4"/>
    <n v="0"/>
    <x v="6"/>
    <s v="Saturday"/>
    <x v="17"/>
    <n v="0"/>
  </r>
  <r>
    <s v="Jar Cakes"/>
    <x v="3"/>
    <x v="20"/>
    <n v="60"/>
    <n v="100"/>
    <n v="6"/>
    <n v="6"/>
    <n v="0"/>
    <x v="6"/>
    <s v="Saturday"/>
    <x v="17"/>
    <n v="0"/>
  </r>
  <r>
    <s v="Paneer Sandwich"/>
    <x v="4"/>
    <x v="21"/>
    <n v="50"/>
    <n v="70"/>
    <n v="5"/>
    <n v="0"/>
    <n v="5"/>
    <x v="6"/>
    <s v="Saturday"/>
    <x v="7"/>
    <n v="100"/>
  </r>
  <r>
    <s v="Hotdog"/>
    <x v="4"/>
    <x v="22"/>
    <n v="45"/>
    <n v="65"/>
    <n v="4"/>
    <n v="4"/>
    <n v="0"/>
    <x v="6"/>
    <s v="Saturday"/>
    <x v="17"/>
    <n v="0"/>
  </r>
  <r>
    <s v="Paneer Roll"/>
    <x v="4"/>
    <x v="23"/>
    <n v="50"/>
    <n v="70"/>
    <n v="3"/>
    <n v="3"/>
    <n v="0"/>
    <x v="6"/>
    <s v="Saturday"/>
    <x v="17"/>
    <n v="0"/>
  </r>
  <r>
    <s v="Aloo Patiz"/>
    <x v="4"/>
    <x v="24"/>
    <n v="10"/>
    <n v="15"/>
    <n v="20"/>
    <n v="3"/>
    <n v="17"/>
    <x v="6"/>
    <s v="Saturday"/>
    <x v="57"/>
    <n v="85"/>
  </r>
  <r>
    <s v="Paneer Patiz"/>
    <x v="4"/>
    <x v="25"/>
    <n v="20"/>
    <n v="25"/>
    <n v="22"/>
    <n v="2"/>
    <n v="20"/>
    <x v="6"/>
    <s v="Saturday"/>
    <x v="12"/>
    <n v="100"/>
  </r>
  <r>
    <s v="Pao"/>
    <x v="5"/>
    <x v="26"/>
    <n v="25"/>
    <n v="30"/>
    <n v="35"/>
    <n v="18"/>
    <n v="17"/>
    <x v="6"/>
    <s v="Saturday"/>
    <x v="58"/>
    <n v="85"/>
  </r>
  <r>
    <s v="Burger Buns"/>
    <x v="5"/>
    <x v="27"/>
    <n v="25"/>
    <n v="30"/>
    <n v="17"/>
    <n v="10"/>
    <n v="7"/>
    <x v="6"/>
    <s v="Saturday"/>
    <x v="24"/>
    <n v="35"/>
  </r>
  <r>
    <s v="Pizza Base"/>
    <x v="5"/>
    <x v="28"/>
    <n v="25"/>
    <n v="30"/>
    <n v="25"/>
    <n v="11"/>
    <n v="14"/>
    <x v="6"/>
    <s v="Saturday"/>
    <x v="59"/>
    <n v="70"/>
  </r>
  <r>
    <s v="Brown Bread"/>
    <x v="5"/>
    <x v="29"/>
    <n v="30"/>
    <n v="35"/>
    <n v="13"/>
    <n v="7"/>
    <n v="6"/>
    <x v="6"/>
    <s v="Saturday"/>
    <x v="24"/>
    <n v="30"/>
  </r>
  <r>
    <s v="Pineapple"/>
    <x v="0"/>
    <x v="0"/>
    <n v="100"/>
    <n v="200"/>
    <n v="5"/>
    <n v="0"/>
    <n v="5"/>
    <x v="7"/>
    <s v="Sunday"/>
    <x v="60"/>
    <n v="500"/>
  </r>
  <r>
    <s v="Chocolate Truffle"/>
    <x v="0"/>
    <x v="1"/>
    <n v="200"/>
    <n v="300"/>
    <n v="2"/>
    <n v="0"/>
    <n v="2"/>
    <x v="7"/>
    <s v="Sunday"/>
    <x v="3"/>
    <n v="200"/>
  </r>
  <r>
    <s v="Black Forest"/>
    <x v="0"/>
    <x v="2"/>
    <n v="150"/>
    <n v="250"/>
    <n v="3"/>
    <n v="0"/>
    <n v="3"/>
    <x v="7"/>
    <s v="Sunday"/>
    <x v="2"/>
    <n v="300"/>
  </r>
  <r>
    <s v="Butter Scotch"/>
    <x v="0"/>
    <x v="3"/>
    <n v="100"/>
    <n v="200"/>
    <n v="8"/>
    <n v="0"/>
    <n v="8"/>
    <x v="7"/>
    <s v="Sunday"/>
    <x v="5"/>
    <n v="800"/>
  </r>
  <r>
    <s v="Pineapple"/>
    <x v="1"/>
    <x v="4"/>
    <n v="250"/>
    <n v="350"/>
    <n v="4"/>
    <n v="1"/>
    <n v="3"/>
    <x v="7"/>
    <s v="Sunday"/>
    <x v="54"/>
    <n v="300"/>
  </r>
  <r>
    <s v="Chocolate Truffle"/>
    <x v="1"/>
    <x v="5"/>
    <n v="300"/>
    <n v="400"/>
    <n v="1"/>
    <n v="0"/>
    <n v="1"/>
    <x v="7"/>
    <s v="Sunday"/>
    <x v="0"/>
    <n v="100"/>
  </r>
  <r>
    <s v="Black Forest"/>
    <x v="1"/>
    <x v="6"/>
    <n v="250"/>
    <n v="350"/>
    <n v="1"/>
    <n v="1"/>
    <n v="0"/>
    <x v="7"/>
    <s v="Sunday"/>
    <x v="17"/>
    <n v="0"/>
  </r>
  <r>
    <s v="Butter Scotch"/>
    <x v="1"/>
    <x v="7"/>
    <n v="250"/>
    <n v="350"/>
    <n v="2"/>
    <n v="0"/>
    <n v="2"/>
    <x v="7"/>
    <s v="Sunday"/>
    <x v="4"/>
    <n v="200"/>
  </r>
  <r>
    <s v="Chocochip"/>
    <x v="1"/>
    <x v="8"/>
    <n v="300"/>
    <n v="450"/>
    <n v="3"/>
    <n v="1"/>
    <n v="2"/>
    <x v="7"/>
    <s v="Sunday"/>
    <x v="1"/>
    <n v="300"/>
  </r>
  <r>
    <s v="Fruit Cake(400gram)"/>
    <x v="2"/>
    <x v="9"/>
    <n v="320"/>
    <n v="400"/>
    <n v="0"/>
    <n v="0"/>
    <n v="0"/>
    <x v="7"/>
    <s v="Sunday"/>
    <x v="17"/>
    <n v="0"/>
  </r>
  <r>
    <s v="Fruit Cake(200gram)"/>
    <x v="2"/>
    <x v="10"/>
    <n v="100"/>
    <n v="150"/>
    <n v="3"/>
    <n v="2"/>
    <n v="1"/>
    <x v="7"/>
    <s v="Sunday"/>
    <x v="22"/>
    <n v="50"/>
  </r>
  <r>
    <s v="Pineapple"/>
    <x v="3"/>
    <x v="11"/>
    <n v="25"/>
    <n v="40"/>
    <n v="0"/>
    <n v="0"/>
    <n v="0"/>
    <x v="7"/>
    <s v="Sunday"/>
    <x v="17"/>
    <n v="0"/>
  </r>
  <r>
    <s v="Chocolate Truffle"/>
    <x v="3"/>
    <x v="12"/>
    <n v="30"/>
    <n v="50"/>
    <n v="4"/>
    <n v="4"/>
    <n v="0"/>
    <x v="7"/>
    <s v="Sunday"/>
    <x v="17"/>
    <n v="0"/>
  </r>
  <r>
    <s v="Butter Scotch"/>
    <x v="3"/>
    <x v="13"/>
    <n v="25"/>
    <n v="40"/>
    <n v="0"/>
    <n v="0"/>
    <n v="0"/>
    <x v="7"/>
    <s v="Sunday"/>
    <x v="17"/>
    <n v="0"/>
  </r>
  <r>
    <s v="Black Forest"/>
    <x v="3"/>
    <x v="14"/>
    <n v="25"/>
    <n v="40"/>
    <n v="0"/>
    <n v="0"/>
    <n v="0"/>
    <x v="7"/>
    <s v="Sunday"/>
    <x v="17"/>
    <n v="0"/>
  </r>
  <r>
    <s v="Chocochip"/>
    <x v="3"/>
    <x v="15"/>
    <n v="30"/>
    <n v="55"/>
    <n v="3"/>
    <n v="3"/>
    <n v="0"/>
    <x v="7"/>
    <s v="Sunday"/>
    <x v="17"/>
    <n v="0"/>
  </r>
  <r>
    <s v="Bonfire"/>
    <x v="3"/>
    <x v="16"/>
    <n v="40"/>
    <n v="65"/>
    <n v="6"/>
    <n v="6"/>
    <n v="0"/>
    <x v="7"/>
    <s v="Sunday"/>
    <x v="17"/>
    <n v="0"/>
  </r>
  <r>
    <s v="Choco Lava"/>
    <x v="3"/>
    <x v="17"/>
    <n v="50"/>
    <n v="70"/>
    <n v="0"/>
    <n v="0"/>
    <n v="0"/>
    <x v="7"/>
    <s v="Sunday"/>
    <x v="17"/>
    <n v="0"/>
  </r>
  <r>
    <s v="Cupcakes"/>
    <x v="3"/>
    <x v="18"/>
    <n v="20"/>
    <n v="30"/>
    <n v="0"/>
    <n v="0"/>
    <n v="0"/>
    <x v="7"/>
    <s v="Sunday"/>
    <x v="17"/>
    <n v="0"/>
  </r>
  <r>
    <s v="Muffins"/>
    <x v="3"/>
    <x v="19"/>
    <n v="10"/>
    <n v="20"/>
    <n v="4"/>
    <n v="4"/>
    <n v="0"/>
    <x v="7"/>
    <s v="Sunday"/>
    <x v="17"/>
    <n v="0"/>
  </r>
  <r>
    <s v="Jar Cakes"/>
    <x v="3"/>
    <x v="20"/>
    <n v="60"/>
    <n v="100"/>
    <n v="6"/>
    <n v="6"/>
    <n v="0"/>
    <x v="7"/>
    <s v="Sunday"/>
    <x v="17"/>
    <n v="0"/>
  </r>
  <r>
    <s v="Paneer Sandwich"/>
    <x v="4"/>
    <x v="21"/>
    <n v="50"/>
    <n v="70"/>
    <n v="0"/>
    <n v="0"/>
    <n v="0"/>
    <x v="7"/>
    <s v="Sunday"/>
    <x v="17"/>
    <n v="0"/>
  </r>
  <r>
    <s v="Hotdog"/>
    <x v="4"/>
    <x v="22"/>
    <n v="45"/>
    <n v="65"/>
    <n v="4"/>
    <n v="4"/>
    <n v="0"/>
    <x v="7"/>
    <s v="Sunday"/>
    <x v="17"/>
    <n v="0"/>
  </r>
  <r>
    <s v="Paneer Roll"/>
    <x v="4"/>
    <x v="23"/>
    <n v="50"/>
    <n v="70"/>
    <n v="3"/>
    <n v="3"/>
    <n v="0"/>
    <x v="7"/>
    <s v="Sunday"/>
    <x v="17"/>
    <n v="0"/>
  </r>
  <r>
    <s v="Aloo Patiz"/>
    <x v="4"/>
    <x v="24"/>
    <n v="10"/>
    <n v="15"/>
    <n v="3"/>
    <n v="0"/>
    <n v="3"/>
    <x v="7"/>
    <s v="Sunday"/>
    <x v="61"/>
    <n v="15"/>
  </r>
  <r>
    <s v="Paneer Patiz"/>
    <x v="4"/>
    <x v="25"/>
    <n v="20"/>
    <n v="25"/>
    <n v="2"/>
    <n v="0"/>
    <n v="2"/>
    <x v="7"/>
    <s v="Sunday"/>
    <x v="41"/>
    <n v="10"/>
  </r>
  <r>
    <s v="Pao"/>
    <x v="5"/>
    <x v="26"/>
    <n v="25"/>
    <n v="30"/>
    <n v="18"/>
    <n v="16"/>
    <n v="2"/>
    <x v="7"/>
    <s v="Sunday"/>
    <x v="42"/>
    <n v="10"/>
  </r>
  <r>
    <s v="Burger Buns"/>
    <x v="5"/>
    <x v="27"/>
    <n v="25"/>
    <n v="30"/>
    <n v="10"/>
    <n v="10"/>
    <n v="0"/>
    <x v="7"/>
    <s v="Sunday"/>
    <x v="17"/>
    <n v="0"/>
  </r>
  <r>
    <s v="Pizza Base"/>
    <x v="5"/>
    <x v="28"/>
    <n v="25"/>
    <n v="30"/>
    <n v="11"/>
    <n v="10"/>
    <n v="1"/>
    <x v="7"/>
    <s v="Sunday"/>
    <x v="32"/>
    <n v="5"/>
  </r>
  <r>
    <s v="Brown Bread"/>
    <x v="5"/>
    <x v="29"/>
    <n v="30"/>
    <n v="35"/>
    <n v="7"/>
    <n v="5"/>
    <n v="2"/>
    <x v="7"/>
    <s v="Sunday"/>
    <x v="20"/>
    <n v="10"/>
  </r>
  <r>
    <s v="Pineapple"/>
    <x v="0"/>
    <x v="0"/>
    <n v="100"/>
    <n v="200"/>
    <n v="3"/>
    <n v="3"/>
    <n v="0"/>
    <x v="8"/>
    <s v="Monday"/>
    <x v="17"/>
    <n v="0"/>
  </r>
  <r>
    <s v="Chocolate Truffle"/>
    <x v="0"/>
    <x v="1"/>
    <n v="200"/>
    <n v="300"/>
    <n v="0"/>
    <n v="0"/>
    <n v="0"/>
    <x v="8"/>
    <s v="Monday"/>
    <x v="17"/>
    <n v="0"/>
  </r>
  <r>
    <s v="Black Forest"/>
    <x v="0"/>
    <x v="2"/>
    <n v="150"/>
    <n v="250"/>
    <n v="1"/>
    <n v="1"/>
    <n v="0"/>
    <x v="8"/>
    <s v="Monday"/>
    <x v="17"/>
    <n v="0"/>
  </r>
  <r>
    <s v="Butter Scotch"/>
    <x v="0"/>
    <x v="3"/>
    <n v="100"/>
    <n v="200"/>
    <n v="0"/>
    <n v="0"/>
    <n v="0"/>
    <x v="8"/>
    <s v="Monday"/>
    <x v="17"/>
    <n v="0"/>
  </r>
  <r>
    <s v="Pineapple"/>
    <x v="1"/>
    <x v="4"/>
    <n v="250"/>
    <n v="350"/>
    <n v="2"/>
    <n v="2"/>
    <n v="0"/>
    <x v="8"/>
    <s v="Monday"/>
    <x v="17"/>
    <n v="0"/>
  </r>
  <r>
    <s v="Chocolate Truffle"/>
    <x v="1"/>
    <x v="5"/>
    <n v="300"/>
    <n v="400"/>
    <n v="1"/>
    <n v="1"/>
    <n v="0"/>
    <x v="8"/>
    <s v="Monday"/>
    <x v="17"/>
    <n v="0"/>
  </r>
  <r>
    <s v="Black Forest"/>
    <x v="1"/>
    <x v="6"/>
    <n v="250"/>
    <n v="350"/>
    <n v="1"/>
    <n v="0"/>
    <n v="1"/>
    <x v="8"/>
    <s v="Monday"/>
    <x v="7"/>
    <n v="100"/>
  </r>
  <r>
    <s v="Butter Scotch"/>
    <x v="1"/>
    <x v="7"/>
    <n v="250"/>
    <n v="350"/>
    <n v="0"/>
    <n v="0"/>
    <n v="0"/>
    <x v="8"/>
    <s v="Monday"/>
    <x v="17"/>
    <n v="0"/>
  </r>
  <r>
    <s v="Chocochip"/>
    <x v="1"/>
    <x v="8"/>
    <n v="300"/>
    <n v="450"/>
    <n v="1"/>
    <n v="0"/>
    <n v="1"/>
    <x v="8"/>
    <s v="Monday"/>
    <x v="8"/>
    <n v="150"/>
  </r>
  <r>
    <s v="Fruit Cake(400gram)"/>
    <x v="2"/>
    <x v="9"/>
    <n v="320"/>
    <n v="400"/>
    <n v="0"/>
    <n v="0"/>
    <n v="0"/>
    <x v="8"/>
    <s v="Monday"/>
    <x v="17"/>
    <n v="0"/>
  </r>
  <r>
    <s v="Fruit Cake(200gram)"/>
    <x v="2"/>
    <x v="10"/>
    <n v="100"/>
    <n v="150"/>
    <n v="2"/>
    <n v="0"/>
    <n v="2"/>
    <x v="8"/>
    <s v="Monday"/>
    <x v="62"/>
    <n v="100"/>
  </r>
  <r>
    <s v="Pineapple"/>
    <x v="3"/>
    <x v="11"/>
    <n v="25"/>
    <n v="40"/>
    <n v="10"/>
    <n v="0"/>
    <n v="10"/>
    <x v="8"/>
    <s v="Monday"/>
    <x v="0"/>
    <n v="150"/>
  </r>
  <r>
    <s v="Chocolate Truffle"/>
    <x v="3"/>
    <x v="12"/>
    <n v="30"/>
    <n v="50"/>
    <n v="4"/>
    <n v="0"/>
    <n v="4"/>
    <x v="8"/>
    <s v="Monday"/>
    <x v="19"/>
    <n v="80"/>
  </r>
  <r>
    <s v="Butter Scotch"/>
    <x v="3"/>
    <x v="13"/>
    <n v="25"/>
    <n v="40"/>
    <n v="10"/>
    <n v="6"/>
    <n v="4"/>
    <x v="8"/>
    <s v="Monday"/>
    <x v="63"/>
    <n v="60"/>
  </r>
  <r>
    <s v="Black Forest"/>
    <x v="3"/>
    <x v="14"/>
    <n v="25"/>
    <n v="40"/>
    <n v="10"/>
    <n v="0"/>
    <n v="10"/>
    <x v="8"/>
    <s v="Monday"/>
    <x v="0"/>
    <n v="150"/>
  </r>
  <r>
    <s v="Chocochip"/>
    <x v="3"/>
    <x v="15"/>
    <n v="30"/>
    <n v="55"/>
    <n v="3"/>
    <n v="0"/>
    <n v="3"/>
    <x v="8"/>
    <s v="Monday"/>
    <x v="40"/>
    <n v="75"/>
  </r>
  <r>
    <s v="Bonfire"/>
    <x v="3"/>
    <x v="16"/>
    <n v="40"/>
    <n v="65"/>
    <n v="6"/>
    <n v="2"/>
    <n v="4"/>
    <x v="8"/>
    <s v="Monday"/>
    <x v="56"/>
    <n v="100"/>
  </r>
  <r>
    <s v="Choco Lava"/>
    <x v="3"/>
    <x v="17"/>
    <n v="50"/>
    <n v="70"/>
    <n v="0"/>
    <n v="0"/>
    <n v="0"/>
    <x v="8"/>
    <s v="Monday"/>
    <x v="17"/>
    <n v="0"/>
  </r>
  <r>
    <s v="Cupcakes"/>
    <x v="3"/>
    <x v="18"/>
    <n v="20"/>
    <n v="30"/>
    <n v="0"/>
    <n v="0"/>
    <n v="0"/>
    <x v="8"/>
    <s v="Monday"/>
    <x v="17"/>
    <n v="0"/>
  </r>
  <r>
    <s v="Muffins"/>
    <x v="3"/>
    <x v="19"/>
    <n v="10"/>
    <n v="20"/>
    <n v="4"/>
    <n v="0"/>
    <n v="4"/>
    <x v="8"/>
    <s v="Monday"/>
    <x v="44"/>
    <n v="40"/>
  </r>
  <r>
    <s v="Jar Cakes"/>
    <x v="3"/>
    <x v="20"/>
    <n v="60"/>
    <n v="100"/>
    <n v="6"/>
    <n v="6"/>
    <n v="0"/>
    <x v="8"/>
    <s v="Monday"/>
    <x v="17"/>
    <n v="0"/>
  </r>
  <r>
    <s v="Paneer Sandwich"/>
    <x v="4"/>
    <x v="21"/>
    <n v="50"/>
    <n v="70"/>
    <n v="0"/>
    <n v="0"/>
    <n v="0"/>
    <x v="8"/>
    <s v="Monday"/>
    <x v="17"/>
    <n v="0"/>
  </r>
  <r>
    <s v="Hotdog"/>
    <x v="4"/>
    <x v="22"/>
    <n v="45"/>
    <n v="65"/>
    <n v="4"/>
    <n v="4"/>
    <n v="0"/>
    <x v="8"/>
    <s v="Monday"/>
    <x v="17"/>
    <n v="0"/>
  </r>
  <r>
    <s v="Paneer Roll"/>
    <x v="4"/>
    <x v="23"/>
    <n v="50"/>
    <n v="70"/>
    <n v="3"/>
    <n v="3"/>
    <n v="0"/>
    <x v="8"/>
    <s v="Monday"/>
    <x v="17"/>
    <n v="0"/>
  </r>
  <r>
    <s v="Aloo Patiz"/>
    <x v="4"/>
    <x v="24"/>
    <n v="10"/>
    <n v="15"/>
    <n v="10"/>
    <n v="0"/>
    <n v="10"/>
    <x v="8"/>
    <s v="Monday"/>
    <x v="22"/>
    <n v="50"/>
  </r>
  <r>
    <s v="Paneer Patiz"/>
    <x v="4"/>
    <x v="25"/>
    <n v="20"/>
    <n v="25"/>
    <n v="10"/>
    <n v="0"/>
    <n v="10"/>
    <x v="8"/>
    <s v="Monday"/>
    <x v="26"/>
    <n v="50"/>
  </r>
  <r>
    <s v="Pao"/>
    <x v="5"/>
    <x v="26"/>
    <n v="25"/>
    <n v="30"/>
    <n v="16"/>
    <n v="13"/>
    <n v="3"/>
    <x v="8"/>
    <s v="Monday"/>
    <x v="38"/>
    <n v="15"/>
  </r>
  <r>
    <s v="Burger Buns"/>
    <x v="5"/>
    <x v="27"/>
    <n v="25"/>
    <n v="30"/>
    <n v="10"/>
    <n v="9"/>
    <n v="1"/>
    <x v="8"/>
    <s v="Monday"/>
    <x v="32"/>
    <n v="5"/>
  </r>
  <r>
    <s v="Pizza Base"/>
    <x v="5"/>
    <x v="28"/>
    <n v="25"/>
    <n v="30"/>
    <n v="10"/>
    <n v="5"/>
    <n v="5"/>
    <x v="8"/>
    <s v="Monday"/>
    <x v="22"/>
    <n v="25"/>
  </r>
  <r>
    <s v="Brown Bread"/>
    <x v="5"/>
    <x v="29"/>
    <n v="30"/>
    <n v="35"/>
    <n v="5"/>
    <n v="0"/>
    <n v="5"/>
    <x v="8"/>
    <s v="Monday"/>
    <x v="64"/>
    <n v="25"/>
  </r>
  <r>
    <s v="Pineapple"/>
    <x v="0"/>
    <x v="0"/>
    <n v="100"/>
    <n v="200"/>
    <n v="6"/>
    <n v="4"/>
    <n v="2"/>
    <x v="9"/>
    <s v="Wednesday"/>
    <x v="0"/>
    <n v="200"/>
  </r>
  <r>
    <s v="Chocolate Truffle"/>
    <x v="0"/>
    <x v="1"/>
    <n v="200"/>
    <n v="300"/>
    <n v="2"/>
    <n v="1"/>
    <n v="1"/>
    <x v="9"/>
    <s v="Wednesday"/>
    <x v="62"/>
    <n v="100"/>
  </r>
  <r>
    <s v="Black Forest"/>
    <x v="0"/>
    <x v="2"/>
    <n v="150"/>
    <n v="250"/>
    <n v="2"/>
    <n v="1"/>
    <n v="1"/>
    <x v="9"/>
    <s v="Wednesday"/>
    <x v="26"/>
    <n v="100"/>
  </r>
  <r>
    <s v="Butter Scotch"/>
    <x v="0"/>
    <x v="3"/>
    <n v="100"/>
    <n v="200"/>
    <n v="2"/>
    <n v="0"/>
    <n v="2"/>
    <x v="9"/>
    <s v="Wednesday"/>
    <x v="0"/>
    <n v="200"/>
  </r>
  <r>
    <s v="Pineapple"/>
    <x v="1"/>
    <x v="4"/>
    <n v="250"/>
    <n v="350"/>
    <n v="2"/>
    <n v="2"/>
    <n v="0"/>
    <x v="9"/>
    <s v="Wednesday"/>
    <x v="17"/>
    <n v="0"/>
  </r>
  <r>
    <s v="Chocolate Truffle"/>
    <x v="1"/>
    <x v="5"/>
    <n v="300"/>
    <n v="400"/>
    <n v="1"/>
    <n v="1"/>
    <n v="0"/>
    <x v="9"/>
    <s v="Wednesday"/>
    <x v="17"/>
    <n v="0"/>
  </r>
  <r>
    <s v="Black Forest"/>
    <x v="1"/>
    <x v="6"/>
    <n v="250"/>
    <n v="350"/>
    <n v="2"/>
    <n v="1"/>
    <n v="1"/>
    <x v="9"/>
    <s v="Wednesday"/>
    <x v="7"/>
    <n v="100"/>
  </r>
  <r>
    <s v="Butter Scotch"/>
    <x v="1"/>
    <x v="7"/>
    <n v="250"/>
    <n v="350"/>
    <n v="1"/>
    <n v="1"/>
    <n v="0"/>
    <x v="9"/>
    <s v="Wednesday"/>
    <x v="17"/>
    <n v="0"/>
  </r>
  <r>
    <s v="Chocochip"/>
    <x v="1"/>
    <x v="8"/>
    <n v="300"/>
    <n v="450"/>
    <n v="1"/>
    <n v="1"/>
    <n v="0"/>
    <x v="9"/>
    <s v="Wednesday"/>
    <x v="17"/>
    <n v="0"/>
  </r>
  <r>
    <s v="Fruit Cake(400gram)"/>
    <x v="2"/>
    <x v="9"/>
    <n v="320"/>
    <n v="400"/>
    <n v="0"/>
    <n v="0"/>
    <n v="0"/>
    <x v="9"/>
    <s v="Wednesday"/>
    <x v="17"/>
    <n v="0"/>
  </r>
  <r>
    <s v="Fruit Cake(200gram)"/>
    <x v="2"/>
    <x v="10"/>
    <n v="100"/>
    <n v="150"/>
    <n v="0"/>
    <n v="0"/>
    <n v="0"/>
    <x v="9"/>
    <s v="Wednesday"/>
    <x v="17"/>
    <n v="0"/>
  </r>
  <r>
    <s v="Pineapple"/>
    <x v="3"/>
    <x v="11"/>
    <n v="25"/>
    <n v="40"/>
    <n v="10"/>
    <n v="3"/>
    <n v="7"/>
    <x v="9"/>
    <s v="Wednesday"/>
    <x v="29"/>
    <n v="105"/>
  </r>
  <r>
    <s v="Chocolate Truffle"/>
    <x v="3"/>
    <x v="12"/>
    <n v="30"/>
    <n v="50"/>
    <n v="0"/>
    <n v="0"/>
    <n v="0"/>
    <x v="9"/>
    <s v="Wednesday"/>
    <x v="17"/>
    <n v="0"/>
  </r>
  <r>
    <s v="Butter Scotch"/>
    <x v="3"/>
    <x v="13"/>
    <n v="25"/>
    <n v="40"/>
    <n v="16"/>
    <n v="15"/>
    <n v="1"/>
    <x v="9"/>
    <s v="Wednesday"/>
    <x v="35"/>
    <n v="15"/>
  </r>
  <r>
    <s v="Black Forest"/>
    <x v="3"/>
    <x v="14"/>
    <n v="25"/>
    <n v="40"/>
    <n v="11"/>
    <n v="5"/>
    <n v="6"/>
    <x v="9"/>
    <s v="Wednesday"/>
    <x v="47"/>
    <n v="90"/>
  </r>
  <r>
    <s v="Chocochip"/>
    <x v="3"/>
    <x v="15"/>
    <n v="30"/>
    <n v="55"/>
    <n v="0"/>
    <n v="0"/>
    <n v="0"/>
    <x v="9"/>
    <s v="Wednesday"/>
    <x v="17"/>
    <n v="0"/>
  </r>
  <r>
    <s v="Bonfire"/>
    <x v="3"/>
    <x v="16"/>
    <n v="40"/>
    <n v="65"/>
    <n v="22"/>
    <n v="19"/>
    <n v="3"/>
    <x v="9"/>
    <s v="Wednesday"/>
    <x v="65"/>
    <n v="75"/>
  </r>
  <r>
    <s v="Choco Lava"/>
    <x v="3"/>
    <x v="17"/>
    <n v="50"/>
    <n v="70"/>
    <n v="0"/>
    <n v="0"/>
    <n v="0"/>
    <x v="9"/>
    <s v="Wednesday"/>
    <x v="17"/>
    <n v="0"/>
  </r>
  <r>
    <s v="Cupcakes"/>
    <x v="3"/>
    <x v="18"/>
    <n v="20"/>
    <n v="30"/>
    <n v="0"/>
    <n v="0"/>
    <n v="0"/>
    <x v="9"/>
    <s v="Wednesday"/>
    <x v="17"/>
    <n v="0"/>
  </r>
  <r>
    <s v="Muffins"/>
    <x v="3"/>
    <x v="19"/>
    <n v="10"/>
    <n v="20"/>
    <n v="0"/>
    <n v="0"/>
    <n v="0"/>
    <x v="9"/>
    <s v="Wednesday"/>
    <x v="17"/>
    <n v="0"/>
  </r>
  <r>
    <s v="Jar Cakes"/>
    <x v="3"/>
    <x v="20"/>
    <n v="60"/>
    <n v="100"/>
    <n v="6"/>
    <n v="4"/>
    <n v="2"/>
    <x v="9"/>
    <s v="Wednesday"/>
    <x v="19"/>
    <n v="80"/>
  </r>
  <r>
    <s v="Paneer Sandwich"/>
    <x v="4"/>
    <x v="21"/>
    <n v="50"/>
    <n v="70"/>
    <n v="4"/>
    <n v="0"/>
    <n v="4"/>
    <x v="9"/>
    <s v="Wednesday"/>
    <x v="29"/>
    <n v="80"/>
  </r>
  <r>
    <s v="Hotdog"/>
    <x v="4"/>
    <x v="22"/>
    <n v="45"/>
    <n v="65"/>
    <n v="4"/>
    <n v="4"/>
    <n v="0"/>
    <x v="9"/>
    <s v="Wednesday"/>
    <x v="17"/>
    <n v="0"/>
  </r>
  <r>
    <s v="Paneer Roll"/>
    <x v="4"/>
    <x v="23"/>
    <n v="50"/>
    <n v="70"/>
    <n v="3"/>
    <n v="0"/>
    <n v="3"/>
    <x v="9"/>
    <s v="Wednesday"/>
    <x v="24"/>
    <n v="60"/>
  </r>
  <r>
    <s v="Aloo Patiz"/>
    <x v="4"/>
    <x v="24"/>
    <n v="10"/>
    <n v="15"/>
    <n v="0"/>
    <n v="0"/>
    <n v="0"/>
    <x v="9"/>
    <s v="Wednesday"/>
    <x v="17"/>
    <n v="0"/>
  </r>
  <r>
    <s v="Paneer Patiz"/>
    <x v="4"/>
    <x v="25"/>
    <n v="20"/>
    <n v="25"/>
    <n v="0"/>
    <n v="0"/>
    <n v="0"/>
    <x v="9"/>
    <s v="Wednesday"/>
    <x v="17"/>
    <n v="0"/>
  </r>
  <r>
    <s v="Pao"/>
    <x v="5"/>
    <x v="26"/>
    <n v="25"/>
    <n v="30"/>
    <n v="13"/>
    <n v="9"/>
    <n v="4"/>
    <x v="9"/>
    <s v="Wednesday"/>
    <x v="28"/>
    <n v="20"/>
  </r>
  <r>
    <s v="Burger Buns"/>
    <x v="5"/>
    <x v="27"/>
    <n v="25"/>
    <n v="30"/>
    <n v="9"/>
    <n v="6"/>
    <n v="3"/>
    <x v="9"/>
    <s v="Wednesday"/>
    <x v="38"/>
    <n v="15"/>
  </r>
  <r>
    <s v="Pizza Base"/>
    <x v="5"/>
    <x v="28"/>
    <n v="25"/>
    <n v="30"/>
    <n v="5"/>
    <n v="5"/>
    <n v="0"/>
    <x v="9"/>
    <s v="Wednesday"/>
    <x v="17"/>
    <n v="0"/>
  </r>
  <r>
    <s v="Brown Bread"/>
    <x v="5"/>
    <x v="29"/>
    <n v="30"/>
    <n v="35"/>
    <n v="0"/>
    <n v="0"/>
    <n v="0"/>
    <x v="9"/>
    <s v="Wednesday"/>
    <x v="17"/>
    <n v="0"/>
  </r>
  <r>
    <s v="Pineapple"/>
    <x v="0"/>
    <x v="0"/>
    <n v="100"/>
    <n v="200"/>
    <n v="6"/>
    <n v="2"/>
    <n v="4"/>
    <x v="10"/>
    <s v="Thursday"/>
    <x v="53"/>
    <n v="400"/>
  </r>
  <r>
    <s v="Chocolate Truffle"/>
    <x v="0"/>
    <x v="1"/>
    <n v="200"/>
    <n v="300"/>
    <n v="3"/>
    <n v="2"/>
    <n v="1"/>
    <x v="10"/>
    <s v="Thursday"/>
    <x v="62"/>
    <n v="100"/>
  </r>
  <r>
    <s v="Black Forest"/>
    <x v="0"/>
    <x v="2"/>
    <n v="150"/>
    <n v="250"/>
    <n v="3"/>
    <n v="2"/>
    <n v="1"/>
    <x v="10"/>
    <s v="Thursday"/>
    <x v="26"/>
    <n v="100"/>
  </r>
  <r>
    <s v="Butter Scotch"/>
    <x v="0"/>
    <x v="3"/>
    <n v="100"/>
    <n v="200"/>
    <n v="2"/>
    <n v="2"/>
    <n v="0"/>
    <x v="10"/>
    <s v="Thursday"/>
    <x v="17"/>
    <n v="0"/>
  </r>
  <r>
    <s v="Pineapple"/>
    <x v="1"/>
    <x v="4"/>
    <n v="250"/>
    <n v="350"/>
    <n v="3"/>
    <n v="2"/>
    <n v="1"/>
    <x v="10"/>
    <s v="Thursday"/>
    <x v="7"/>
    <n v="100"/>
  </r>
  <r>
    <s v="Chocolate Truffle"/>
    <x v="1"/>
    <x v="5"/>
    <n v="300"/>
    <n v="400"/>
    <n v="1"/>
    <n v="0"/>
    <n v="1"/>
    <x v="10"/>
    <s v="Thursday"/>
    <x v="0"/>
    <n v="100"/>
  </r>
  <r>
    <s v="Black Forest"/>
    <x v="1"/>
    <x v="6"/>
    <n v="250"/>
    <n v="350"/>
    <n v="3"/>
    <n v="2"/>
    <n v="1"/>
    <x v="10"/>
    <s v="Thursday"/>
    <x v="7"/>
    <n v="100"/>
  </r>
  <r>
    <s v="Butter Scotch"/>
    <x v="1"/>
    <x v="7"/>
    <n v="250"/>
    <n v="350"/>
    <n v="1"/>
    <n v="1"/>
    <n v="0"/>
    <x v="10"/>
    <s v="Thursday"/>
    <x v="17"/>
    <n v="0"/>
  </r>
  <r>
    <s v="Chocochip"/>
    <x v="1"/>
    <x v="8"/>
    <n v="300"/>
    <n v="450"/>
    <n v="2"/>
    <n v="1"/>
    <n v="1"/>
    <x v="10"/>
    <s v="Thursday"/>
    <x v="8"/>
    <n v="150"/>
  </r>
  <r>
    <s v="Fruit Cake(400gram)"/>
    <x v="2"/>
    <x v="9"/>
    <n v="320"/>
    <n v="400"/>
    <n v="0"/>
    <n v="0"/>
    <n v="0"/>
    <x v="10"/>
    <s v="Thursday"/>
    <x v="17"/>
    <n v="0"/>
  </r>
  <r>
    <s v="Fruit Cake(200gram)"/>
    <x v="2"/>
    <x v="10"/>
    <n v="100"/>
    <n v="150"/>
    <n v="6"/>
    <n v="5"/>
    <n v="1"/>
    <x v="10"/>
    <s v="Thursday"/>
    <x v="22"/>
    <n v="50"/>
  </r>
  <r>
    <s v="Pineapple"/>
    <x v="3"/>
    <x v="11"/>
    <n v="25"/>
    <n v="40"/>
    <n v="19"/>
    <n v="1"/>
    <n v="18"/>
    <x v="10"/>
    <s v="Thursday"/>
    <x v="66"/>
    <n v="270"/>
  </r>
  <r>
    <s v="Chocolate Truffle"/>
    <x v="3"/>
    <x v="12"/>
    <n v="30"/>
    <n v="50"/>
    <n v="8"/>
    <n v="8"/>
    <n v="0"/>
    <x v="10"/>
    <s v="Thursday"/>
    <x v="17"/>
    <n v="0"/>
  </r>
  <r>
    <s v="Butter Scotch"/>
    <x v="3"/>
    <x v="13"/>
    <n v="25"/>
    <n v="40"/>
    <n v="15"/>
    <n v="12"/>
    <n v="3"/>
    <x v="10"/>
    <s v="Thursday"/>
    <x v="28"/>
    <n v="45"/>
  </r>
  <r>
    <s v="Black Forest"/>
    <x v="3"/>
    <x v="14"/>
    <n v="25"/>
    <n v="40"/>
    <n v="20"/>
    <n v="11"/>
    <n v="9"/>
    <x v="10"/>
    <s v="Thursday"/>
    <x v="23"/>
    <n v="135"/>
  </r>
  <r>
    <s v="Chocochip"/>
    <x v="3"/>
    <x v="15"/>
    <n v="30"/>
    <n v="55"/>
    <n v="8"/>
    <n v="8"/>
    <n v="0"/>
    <x v="10"/>
    <s v="Thursday"/>
    <x v="17"/>
    <n v="0"/>
  </r>
  <r>
    <s v="Bonfire"/>
    <x v="3"/>
    <x v="16"/>
    <n v="40"/>
    <n v="65"/>
    <n v="19"/>
    <n v="8"/>
    <n v="11"/>
    <x v="10"/>
    <s v="Thursday"/>
    <x v="67"/>
    <n v="275"/>
  </r>
  <r>
    <s v="Choco Lava"/>
    <x v="3"/>
    <x v="17"/>
    <n v="50"/>
    <n v="70"/>
    <n v="0"/>
    <n v="0"/>
    <n v="0"/>
    <x v="10"/>
    <s v="Thursday"/>
    <x v="17"/>
    <n v="0"/>
  </r>
  <r>
    <s v="Cupcakes"/>
    <x v="3"/>
    <x v="18"/>
    <n v="20"/>
    <n v="30"/>
    <n v="22"/>
    <n v="20"/>
    <n v="2"/>
    <x v="10"/>
    <s v="Thursday"/>
    <x v="42"/>
    <n v="20"/>
  </r>
  <r>
    <s v="Muffins"/>
    <x v="3"/>
    <x v="19"/>
    <n v="10"/>
    <n v="20"/>
    <n v="11"/>
    <n v="11"/>
    <n v="0"/>
    <x v="10"/>
    <s v="Thursday"/>
    <x v="17"/>
    <n v="0"/>
  </r>
  <r>
    <s v="Jar Cakes"/>
    <x v="3"/>
    <x v="20"/>
    <n v="60"/>
    <n v="100"/>
    <n v="4"/>
    <n v="4"/>
    <n v="0"/>
    <x v="10"/>
    <s v="Thursday"/>
    <x v="17"/>
    <n v="0"/>
  </r>
  <r>
    <s v="Paneer Sandwich"/>
    <x v="4"/>
    <x v="21"/>
    <n v="50"/>
    <n v="70"/>
    <n v="4"/>
    <n v="0"/>
    <n v="4"/>
    <x v="10"/>
    <s v="Thursday"/>
    <x v="29"/>
    <n v="80"/>
  </r>
  <r>
    <s v="Hotdog"/>
    <x v="4"/>
    <x v="22"/>
    <n v="45"/>
    <n v="65"/>
    <n v="4"/>
    <n v="4"/>
    <n v="0"/>
    <x v="10"/>
    <s v="Thursday"/>
    <x v="17"/>
    <n v="0"/>
  </r>
  <r>
    <s v="Paneer Roll"/>
    <x v="4"/>
    <x v="23"/>
    <n v="50"/>
    <n v="70"/>
    <n v="0"/>
    <n v="0"/>
    <n v="0"/>
    <x v="10"/>
    <s v="Thursday"/>
    <x v="17"/>
    <n v="0"/>
  </r>
  <r>
    <s v="Aloo Patiz"/>
    <x v="4"/>
    <x v="24"/>
    <n v="10"/>
    <n v="15"/>
    <n v="10"/>
    <n v="5"/>
    <n v="5"/>
    <x v="10"/>
    <s v="Thursday"/>
    <x v="49"/>
    <n v="25"/>
  </r>
  <r>
    <s v="Paneer Patiz"/>
    <x v="4"/>
    <x v="25"/>
    <n v="20"/>
    <n v="25"/>
    <n v="5"/>
    <n v="2"/>
    <n v="3"/>
    <x v="10"/>
    <s v="Thursday"/>
    <x v="49"/>
    <n v="15"/>
  </r>
  <r>
    <s v="Pao"/>
    <x v="5"/>
    <x v="26"/>
    <n v="25"/>
    <n v="30"/>
    <n v="9"/>
    <n v="6"/>
    <n v="3"/>
    <x v="10"/>
    <s v="Thursday"/>
    <x v="38"/>
    <n v="15"/>
  </r>
  <r>
    <s v="Burger Buns"/>
    <x v="5"/>
    <x v="27"/>
    <n v="25"/>
    <n v="30"/>
    <n v="6"/>
    <n v="4"/>
    <n v="2"/>
    <x v="10"/>
    <s v="Thursday"/>
    <x v="42"/>
    <n v="10"/>
  </r>
  <r>
    <s v="Pizza Base"/>
    <x v="5"/>
    <x v="28"/>
    <n v="25"/>
    <n v="30"/>
    <n v="5"/>
    <n v="5"/>
    <n v="0"/>
    <x v="10"/>
    <s v="Thursday"/>
    <x v="17"/>
    <n v="0"/>
  </r>
  <r>
    <s v="Brown Bread"/>
    <x v="5"/>
    <x v="29"/>
    <n v="30"/>
    <n v="35"/>
    <n v="10"/>
    <n v="8"/>
    <n v="2"/>
    <x v="10"/>
    <s v="Thursday"/>
    <x v="20"/>
    <n v="10"/>
  </r>
  <r>
    <s v="Pineapple"/>
    <x v="0"/>
    <x v="0"/>
    <n v="100"/>
    <n v="200"/>
    <n v="2"/>
    <n v="0"/>
    <n v="2"/>
    <x v="11"/>
    <s v="Friday"/>
    <x v="0"/>
    <n v="200"/>
  </r>
  <r>
    <s v="Chocolate Truffle"/>
    <x v="0"/>
    <x v="1"/>
    <n v="200"/>
    <n v="300"/>
    <n v="2"/>
    <n v="0"/>
    <n v="2"/>
    <x v="11"/>
    <s v="Friday"/>
    <x v="3"/>
    <n v="200"/>
  </r>
  <r>
    <s v="Black Forest"/>
    <x v="0"/>
    <x v="2"/>
    <n v="150"/>
    <n v="250"/>
    <n v="2"/>
    <n v="0"/>
    <n v="2"/>
    <x v="11"/>
    <s v="Friday"/>
    <x v="12"/>
    <n v="200"/>
  </r>
  <r>
    <s v="Butter Scotch"/>
    <x v="0"/>
    <x v="3"/>
    <n v="100"/>
    <n v="200"/>
    <n v="2"/>
    <n v="0"/>
    <n v="2"/>
    <x v="11"/>
    <s v="Friday"/>
    <x v="0"/>
    <n v="200"/>
  </r>
  <r>
    <s v="Pineapple"/>
    <x v="1"/>
    <x v="4"/>
    <n v="250"/>
    <n v="350"/>
    <n v="2"/>
    <n v="2"/>
    <n v="0"/>
    <x v="11"/>
    <s v="Friday"/>
    <x v="17"/>
    <n v="0"/>
  </r>
  <r>
    <s v="Chocolate Truffle"/>
    <x v="1"/>
    <x v="5"/>
    <n v="300"/>
    <n v="400"/>
    <n v="0"/>
    <n v="0"/>
    <n v="0"/>
    <x v="11"/>
    <s v="Friday"/>
    <x v="17"/>
    <n v="0"/>
  </r>
  <r>
    <s v="Black Forest"/>
    <x v="1"/>
    <x v="6"/>
    <n v="250"/>
    <n v="350"/>
    <n v="2"/>
    <n v="1"/>
    <n v="1"/>
    <x v="11"/>
    <s v="Friday"/>
    <x v="7"/>
    <n v="100"/>
  </r>
  <r>
    <s v="Butter Scotch"/>
    <x v="1"/>
    <x v="7"/>
    <n v="250"/>
    <n v="350"/>
    <n v="1"/>
    <n v="1"/>
    <n v="0"/>
    <x v="11"/>
    <s v="Friday"/>
    <x v="17"/>
    <n v="0"/>
  </r>
  <r>
    <s v="Chocochip"/>
    <x v="1"/>
    <x v="8"/>
    <n v="300"/>
    <n v="450"/>
    <n v="1"/>
    <n v="1"/>
    <n v="0"/>
    <x v="11"/>
    <s v="Friday"/>
    <x v="17"/>
    <n v="0"/>
  </r>
  <r>
    <s v="Fruit Cake(400gram)"/>
    <x v="2"/>
    <x v="9"/>
    <n v="320"/>
    <n v="400"/>
    <n v="0"/>
    <n v="0"/>
    <n v="0"/>
    <x v="11"/>
    <s v="Friday"/>
    <x v="17"/>
    <n v="0"/>
  </r>
  <r>
    <s v="Fruit Cake(200gram)"/>
    <x v="2"/>
    <x v="10"/>
    <n v="100"/>
    <n v="150"/>
    <n v="5"/>
    <n v="5"/>
    <n v="0"/>
    <x v="11"/>
    <s v="Friday"/>
    <x v="17"/>
    <n v="0"/>
  </r>
  <r>
    <s v="Pineapple"/>
    <x v="3"/>
    <x v="11"/>
    <n v="25"/>
    <n v="40"/>
    <n v="9"/>
    <n v="9"/>
    <n v="0"/>
    <x v="11"/>
    <s v="Friday"/>
    <x v="17"/>
    <n v="0"/>
  </r>
  <r>
    <s v="Chocolate Truffle"/>
    <x v="3"/>
    <x v="12"/>
    <n v="30"/>
    <n v="50"/>
    <n v="16"/>
    <n v="8"/>
    <n v="8"/>
    <x v="11"/>
    <s v="Friday"/>
    <x v="0"/>
    <n v="160"/>
  </r>
  <r>
    <s v="Butter Scotch"/>
    <x v="3"/>
    <x v="13"/>
    <n v="25"/>
    <n v="40"/>
    <n v="12"/>
    <n v="8"/>
    <n v="4"/>
    <x v="11"/>
    <s v="Friday"/>
    <x v="63"/>
    <n v="60"/>
  </r>
  <r>
    <s v="Black Forest"/>
    <x v="3"/>
    <x v="14"/>
    <n v="25"/>
    <n v="40"/>
    <n v="27"/>
    <n v="13"/>
    <n v="14"/>
    <x v="11"/>
    <s v="Friday"/>
    <x v="68"/>
    <n v="210"/>
  </r>
  <r>
    <s v="Chocochip"/>
    <x v="3"/>
    <x v="15"/>
    <n v="30"/>
    <n v="55"/>
    <n v="16"/>
    <n v="8"/>
    <n v="8"/>
    <x v="11"/>
    <s v="Friday"/>
    <x v="69"/>
    <n v="200"/>
  </r>
  <r>
    <s v="Bonfire"/>
    <x v="3"/>
    <x v="16"/>
    <n v="40"/>
    <n v="65"/>
    <n v="8"/>
    <n v="8"/>
    <n v="0"/>
    <x v="11"/>
    <s v="Friday"/>
    <x v="17"/>
    <n v="0"/>
  </r>
  <r>
    <s v="Choco Lava"/>
    <x v="3"/>
    <x v="17"/>
    <n v="50"/>
    <n v="70"/>
    <n v="0"/>
    <n v="0"/>
    <n v="0"/>
    <x v="11"/>
    <s v="Friday"/>
    <x v="17"/>
    <n v="0"/>
  </r>
  <r>
    <s v="Cupcakes"/>
    <x v="3"/>
    <x v="18"/>
    <n v="20"/>
    <n v="30"/>
    <n v="20"/>
    <n v="15"/>
    <n v="5"/>
    <x v="11"/>
    <s v="Friday"/>
    <x v="22"/>
    <n v="50"/>
  </r>
  <r>
    <s v="Muffins"/>
    <x v="3"/>
    <x v="19"/>
    <n v="10"/>
    <n v="20"/>
    <n v="11"/>
    <n v="11"/>
    <n v="0"/>
    <x v="11"/>
    <s v="Friday"/>
    <x v="17"/>
    <n v="0"/>
  </r>
  <r>
    <s v="Jar Cakes"/>
    <x v="3"/>
    <x v="20"/>
    <n v="60"/>
    <n v="100"/>
    <n v="4"/>
    <n v="1"/>
    <n v="3"/>
    <x v="11"/>
    <s v="Friday"/>
    <x v="62"/>
    <n v="120"/>
  </r>
  <r>
    <s v="Paneer Sandwich"/>
    <x v="4"/>
    <x v="21"/>
    <n v="50"/>
    <n v="70"/>
    <n v="4"/>
    <n v="2"/>
    <n v="2"/>
    <x v="11"/>
    <s v="Friday"/>
    <x v="25"/>
    <n v="40"/>
  </r>
  <r>
    <s v="Hotdog"/>
    <x v="4"/>
    <x v="22"/>
    <n v="45"/>
    <n v="65"/>
    <n v="4"/>
    <n v="2"/>
    <n v="2"/>
    <x v="11"/>
    <s v="Friday"/>
    <x v="37"/>
    <n v="40"/>
  </r>
  <r>
    <s v="Paneer Roll"/>
    <x v="4"/>
    <x v="23"/>
    <n v="50"/>
    <n v="70"/>
    <n v="0"/>
    <n v="0"/>
    <n v="0"/>
    <x v="11"/>
    <s v="Friday"/>
    <x v="17"/>
    <n v="0"/>
  </r>
  <r>
    <s v="Aloo Patiz"/>
    <x v="4"/>
    <x v="24"/>
    <n v="10"/>
    <n v="15"/>
    <n v="10"/>
    <n v="8"/>
    <n v="2"/>
    <x v="11"/>
    <s v="Friday"/>
    <x v="32"/>
    <n v="10"/>
  </r>
  <r>
    <s v="Paneer Patiz"/>
    <x v="4"/>
    <x v="25"/>
    <n v="20"/>
    <n v="25"/>
    <n v="7"/>
    <n v="5"/>
    <n v="2"/>
    <x v="11"/>
    <s v="Friday"/>
    <x v="41"/>
    <n v="10"/>
  </r>
  <r>
    <s v="Pao"/>
    <x v="5"/>
    <x v="26"/>
    <n v="25"/>
    <n v="30"/>
    <n v="6"/>
    <n v="0"/>
    <n v="6"/>
    <x v="11"/>
    <s v="Friday"/>
    <x v="34"/>
    <n v="30"/>
  </r>
  <r>
    <s v="Burger Buns"/>
    <x v="5"/>
    <x v="27"/>
    <n v="25"/>
    <n v="30"/>
    <n v="4"/>
    <n v="4"/>
    <n v="0"/>
    <x v="11"/>
    <s v="Friday"/>
    <x v="17"/>
    <n v="0"/>
  </r>
  <r>
    <s v="Pizza Base"/>
    <x v="5"/>
    <x v="28"/>
    <n v="25"/>
    <n v="30"/>
    <n v="5"/>
    <n v="2"/>
    <n v="3"/>
    <x v="11"/>
    <s v="Friday"/>
    <x v="38"/>
    <n v="15"/>
  </r>
  <r>
    <s v="Brown Bread"/>
    <x v="5"/>
    <x v="29"/>
    <n v="30"/>
    <n v="35"/>
    <n v="8"/>
    <n v="2"/>
    <n v="6"/>
    <x v="11"/>
    <s v="Friday"/>
    <x v="24"/>
    <n v="30"/>
  </r>
  <r>
    <s v="Pineapple"/>
    <x v="0"/>
    <x v="0"/>
    <n v="100"/>
    <n v="200"/>
    <n v="3"/>
    <n v="2"/>
    <n v="1"/>
    <x v="12"/>
    <s v="Saturday"/>
    <x v="19"/>
    <n v="100"/>
  </r>
  <r>
    <s v="Chocolate Truffle"/>
    <x v="0"/>
    <x v="1"/>
    <n v="200"/>
    <n v="300"/>
    <n v="2"/>
    <n v="1"/>
    <n v="1"/>
    <x v="12"/>
    <s v="Saturday"/>
    <x v="62"/>
    <n v="100"/>
  </r>
  <r>
    <s v="Black Forest"/>
    <x v="0"/>
    <x v="2"/>
    <n v="150"/>
    <n v="250"/>
    <n v="2"/>
    <n v="1"/>
    <n v="1"/>
    <x v="12"/>
    <s v="Saturday"/>
    <x v="26"/>
    <n v="100"/>
  </r>
  <r>
    <s v="Butter Scotch"/>
    <x v="0"/>
    <x v="3"/>
    <n v="100"/>
    <n v="200"/>
    <n v="3"/>
    <n v="2"/>
    <n v="1"/>
    <x v="12"/>
    <s v="Saturday"/>
    <x v="19"/>
    <n v="100"/>
  </r>
  <r>
    <s v="Pineapple"/>
    <x v="1"/>
    <x v="4"/>
    <n v="250"/>
    <n v="350"/>
    <n v="2"/>
    <n v="1"/>
    <n v="1"/>
    <x v="12"/>
    <s v="Saturday"/>
    <x v="7"/>
    <n v="100"/>
  </r>
  <r>
    <s v="Chocolate Truffle"/>
    <x v="1"/>
    <x v="5"/>
    <n v="300"/>
    <n v="400"/>
    <n v="0"/>
    <n v="0"/>
    <n v="0"/>
    <x v="12"/>
    <s v="Saturday"/>
    <x v="17"/>
    <n v="0"/>
  </r>
  <r>
    <s v="Black Forest"/>
    <x v="1"/>
    <x v="6"/>
    <n v="250"/>
    <n v="350"/>
    <n v="1"/>
    <n v="0"/>
    <n v="1"/>
    <x v="12"/>
    <s v="Saturday"/>
    <x v="7"/>
    <n v="100"/>
  </r>
  <r>
    <s v="Butter Scotch"/>
    <x v="1"/>
    <x v="7"/>
    <n v="250"/>
    <n v="350"/>
    <n v="5"/>
    <n v="4"/>
    <n v="1"/>
    <x v="12"/>
    <s v="Saturday"/>
    <x v="7"/>
    <n v="100"/>
  </r>
  <r>
    <s v="Chocochip"/>
    <x v="1"/>
    <x v="8"/>
    <n v="300"/>
    <n v="450"/>
    <n v="2"/>
    <n v="0"/>
    <n v="2"/>
    <x v="12"/>
    <s v="Saturday"/>
    <x v="1"/>
    <n v="300"/>
  </r>
  <r>
    <s v="Fruit Cake(400gram)"/>
    <x v="2"/>
    <x v="9"/>
    <n v="320"/>
    <n v="400"/>
    <n v="0"/>
    <n v="0"/>
    <n v="0"/>
    <x v="12"/>
    <s v="Saturday"/>
    <x v="17"/>
    <n v="0"/>
  </r>
  <r>
    <s v="Fruit Cake(200gram)"/>
    <x v="2"/>
    <x v="10"/>
    <n v="100"/>
    <n v="150"/>
    <n v="5"/>
    <n v="5"/>
    <n v="0"/>
    <x v="12"/>
    <s v="Saturday"/>
    <x v="17"/>
    <n v="0"/>
  </r>
  <r>
    <s v="Pineapple"/>
    <x v="3"/>
    <x v="11"/>
    <n v="25"/>
    <n v="40"/>
    <n v="9"/>
    <n v="7"/>
    <n v="2"/>
    <x v="12"/>
    <s v="Saturday"/>
    <x v="44"/>
    <n v="30"/>
  </r>
  <r>
    <s v="Chocolate Truffle"/>
    <x v="3"/>
    <x v="12"/>
    <n v="30"/>
    <n v="50"/>
    <n v="16"/>
    <n v="4"/>
    <n v="12"/>
    <x v="12"/>
    <s v="Saturday"/>
    <x v="3"/>
    <n v="240"/>
  </r>
  <r>
    <s v="Butter Scotch"/>
    <x v="3"/>
    <x v="13"/>
    <n v="25"/>
    <n v="40"/>
    <n v="16"/>
    <n v="6"/>
    <n v="10"/>
    <x v="12"/>
    <s v="Saturday"/>
    <x v="0"/>
    <n v="150"/>
  </r>
  <r>
    <s v="Black Forest"/>
    <x v="3"/>
    <x v="14"/>
    <n v="25"/>
    <n v="40"/>
    <n v="21"/>
    <n v="9"/>
    <n v="12"/>
    <x v="12"/>
    <s v="Saturday"/>
    <x v="13"/>
    <n v="180"/>
  </r>
  <r>
    <s v="Chocochip"/>
    <x v="3"/>
    <x v="15"/>
    <n v="30"/>
    <n v="55"/>
    <n v="16"/>
    <n v="2"/>
    <n v="14"/>
    <x v="12"/>
    <s v="Saturday"/>
    <x v="70"/>
    <n v="350"/>
  </r>
  <r>
    <s v="Bonfire"/>
    <x v="3"/>
    <x v="16"/>
    <n v="40"/>
    <n v="65"/>
    <n v="8"/>
    <n v="5"/>
    <n v="3"/>
    <x v="12"/>
    <s v="Saturday"/>
    <x v="65"/>
    <n v="75"/>
  </r>
  <r>
    <s v="Choco Lava"/>
    <x v="3"/>
    <x v="17"/>
    <n v="50"/>
    <n v="70"/>
    <n v="0"/>
    <n v="0"/>
    <n v="0"/>
    <x v="12"/>
    <s v="Saturday"/>
    <x v="17"/>
    <n v="0"/>
  </r>
  <r>
    <s v="Cupcakes"/>
    <x v="3"/>
    <x v="18"/>
    <n v="20"/>
    <n v="30"/>
    <n v="20"/>
    <n v="20"/>
    <n v="0"/>
    <x v="12"/>
    <s v="Saturday"/>
    <x v="17"/>
    <n v="0"/>
  </r>
  <r>
    <s v="Muffins"/>
    <x v="3"/>
    <x v="19"/>
    <n v="10"/>
    <n v="20"/>
    <n v="11"/>
    <n v="11"/>
    <n v="0"/>
    <x v="12"/>
    <s v="Saturday"/>
    <x v="17"/>
    <n v="0"/>
  </r>
  <r>
    <s v="Jar Cakes"/>
    <x v="3"/>
    <x v="20"/>
    <n v="60"/>
    <n v="100"/>
    <n v="6"/>
    <n v="6"/>
    <n v="0"/>
    <x v="12"/>
    <s v="Saturday"/>
    <x v="17"/>
    <n v="0"/>
  </r>
  <r>
    <s v="Paneer Sandwich"/>
    <x v="4"/>
    <x v="21"/>
    <n v="50"/>
    <n v="70"/>
    <n v="6"/>
    <n v="5"/>
    <n v="1"/>
    <x v="12"/>
    <s v="Saturday"/>
    <x v="20"/>
    <n v="20"/>
  </r>
  <r>
    <s v="Hotdog"/>
    <x v="4"/>
    <x v="22"/>
    <n v="45"/>
    <n v="65"/>
    <n v="2"/>
    <n v="1"/>
    <n v="1"/>
    <x v="12"/>
    <s v="Saturday"/>
    <x v="71"/>
    <n v="20"/>
  </r>
  <r>
    <s v="Paneer Roll"/>
    <x v="4"/>
    <x v="23"/>
    <n v="50"/>
    <n v="70"/>
    <n v="0"/>
    <n v="0"/>
    <n v="0"/>
    <x v="12"/>
    <s v="Saturday"/>
    <x v="17"/>
    <n v="0"/>
  </r>
  <r>
    <s v="Aloo Patiz"/>
    <x v="4"/>
    <x v="24"/>
    <n v="10"/>
    <n v="15"/>
    <n v="12"/>
    <n v="10"/>
    <n v="2"/>
    <x v="12"/>
    <s v="Saturday"/>
    <x v="32"/>
    <n v="10"/>
  </r>
  <r>
    <s v="Paneer Patiz"/>
    <x v="4"/>
    <x v="25"/>
    <n v="20"/>
    <n v="25"/>
    <n v="5"/>
    <n v="4"/>
    <n v="1"/>
    <x v="12"/>
    <s v="Saturday"/>
    <x v="39"/>
    <n v="5"/>
  </r>
  <r>
    <s v="Pao"/>
    <x v="5"/>
    <x v="26"/>
    <n v="25"/>
    <n v="30"/>
    <n v="0"/>
    <n v="0"/>
    <n v="0"/>
    <x v="12"/>
    <s v="Saturday"/>
    <x v="17"/>
    <n v="0"/>
  </r>
  <r>
    <s v="Burger Buns"/>
    <x v="5"/>
    <x v="27"/>
    <n v="25"/>
    <n v="30"/>
    <n v="4"/>
    <n v="2"/>
    <n v="2"/>
    <x v="12"/>
    <s v="Saturday"/>
    <x v="42"/>
    <n v="10"/>
  </r>
  <r>
    <s v="Pizza Base"/>
    <x v="5"/>
    <x v="28"/>
    <n v="25"/>
    <n v="30"/>
    <n v="2"/>
    <n v="2"/>
    <n v="0"/>
    <x v="12"/>
    <s v="Saturday"/>
    <x v="17"/>
    <n v="0"/>
  </r>
  <r>
    <s v="Brown Bread"/>
    <x v="5"/>
    <x v="29"/>
    <n v="30"/>
    <n v="35"/>
    <n v="2"/>
    <n v="1"/>
    <n v="1"/>
    <x v="12"/>
    <s v="Saturday"/>
    <x v="72"/>
    <n v="5"/>
  </r>
  <r>
    <s v="Pineapple"/>
    <x v="0"/>
    <x v="0"/>
    <n v="100"/>
    <n v="200"/>
    <n v="2"/>
    <n v="1"/>
    <n v="1"/>
    <x v="13"/>
    <s v="Sunday"/>
    <x v="19"/>
    <n v="100"/>
  </r>
  <r>
    <s v="Chocolate Truffle"/>
    <x v="0"/>
    <x v="1"/>
    <n v="200"/>
    <n v="300"/>
    <n v="3"/>
    <n v="2"/>
    <n v="1"/>
    <x v="13"/>
    <s v="Sunday"/>
    <x v="62"/>
    <n v="100"/>
  </r>
  <r>
    <s v="Black Forest"/>
    <x v="0"/>
    <x v="2"/>
    <n v="150"/>
    <n v="250"/>
    <n v="3"/>
    <n v="1"/>
    <n v="2"/>
    <x v="13"/>
    <s v="Sunday"/>
    <x v="12"/>
    <n v="200"/>
  </r>
  <r>
    <s v="Butter Scotch"/>
    <x v="0"/>
    <x v="3"/>
    <n v="100"/>
    <n v="200"/>
    <n v="3"/>
    <n v="3"/>
    <n v="0"/>
    <x v="13"/>
    <s v="Sunday"/>
    <x v="17"/>
    <n v="0"/>
  </r>
  <r>
    <s v="Pineapple"/>
    <x v="1"/>
    <x v="4"/>
    <n v="250"/>
    <n v="350"/>
    <n v="3"/>
    <n v="2"/>
    <n v="1"/>
    <x v="13"/>
    <s v="Sunday"/>
    <x v="7"/>
    <n v="100"/>
  </r>
  <r>
    <s v="Chocolate Truffle"/>
    <x v="1"/>
    <x v="5"/>
    <n v="300"/>
    <n v="400"/>
    <n v="1"/>
    <n v="1"/>
    <n v="0"/>
    <x v="13"/>
    <s v="Sunday"/>
    <x v="17"/>
    <n v="0"/>
  </r>
  <r>
    <s v="Black Forest"/>
    <x v="1"/>
    <x v="6"/>
    <n v="250"/>
    <n v="350"/>
    <n v="2"/>
    <n v="2"/>
    <n v="0"/>
    <x v="13"/>
    <s v="Sunday"/>
    <x v="17"/>
    <n v="0"/>
  </r>
  <r>
    <s v="Butter Scotch"/>
    <x v="1"/>
    <x v="7"/>
    <n v="250"/>
    <n v="350"/>
    <n v="5"/>
    <n v="2"/>
    <n v="3"/>
    <x v="13"/>
    <s v="Sunday"/>
    <x v="54"/>
    <n v="300"/>
  </r>
  <r>
    <s v="Chocochip"/>
    <x v="1"/>
    <x v="8"/>
    <n v="300"/>
    <n v="450"/>
    <n v="0"/>
    <n v="0"/>
    <n v="0"/>
    <x v="13"/>
    <s v="Sunday"/>
    <x v="17"/>
    <n v="0"/>
  </r>
  <r>
    <s v="Fruit Cake(400gram)"/>
    <x v="2"/>
    <x v="9"/>
    <n v="320"/>
    <n v="400"/>
    <n v="0"/>
    <n v="0"/>
    <n v="0"/>
    <x v="13"/>
    <s v="Sunday"/>
    <x v="17"/>
    <n v="0"/>
  </r>
  <r>
    <s v="Fruit Cake(200gram)"/>
    <x v="2"/>
    <x v="10"/>
    <n v="100"/>
    <n v="150"/>
    <n v="5"/>
    <n v="5"/>
    <n v="0"/>
    <x v="13"/>
    <s v="Sunday"/>
    <x v="17"/>
    <n v="0"/>
  </r>
  <r>
    <s v="Pineapple"/>
    <x v="3"/>
    <x v="11"/>
    <n v="25"/>
    <n v="40"/>
    <n v="19"/>
    <n v="19"/>
    <n v="0"/>
    <x v="13"/>
    <s v="Sunday"/>
    <x v="17"/>
    <n v="0"/>
  </r>
  <r>
    <s v="Chocolate Truffle"/>
    <x v="3"/>
    <x v="12"/>
    <n v="30"/>
    <n v="50"/>
    <n v="4"/>
    <n v="4"/>
    <n v="0"/>
    <x v="13"/>
    <s v="Sunday"/>
    <x v="17"/>
    <n v="0"/>
  </r>
  <r>
    <s v="Butter Scotch"/>
    <x v="3"/>
    <x v="13"/>
    <n v="25"/>
    <n v="40"/>
    <n v="6"/>
    <n v="3"/>
    <n v="3"/>
    <x v="13"/>
    <s v="Sunday"/>
    <x v="28"/>
    <n v="45"/>
  </r>
  <r>
    <s v="Black Forest"/>
    <x v="3"/>
    <x v="14"/>
    <n v="25"/>
    <n v="40"/>
    <n v="9"/>
    <n v="5"/>
    <n v="4"/>
    <x v="13"/>
    <s v="Sunday"/>
    <x v="63"/>
    <n v="60"/>
  </r>
  <r>
    <s v="Chocochip"/>
    <x v="3"/>
    <x v="15"/>
    <n v="30"/>
    <n v="55"/>
    <n v="2"/>
    <n v="2"/>
    <n v="0"/>
    <x v="13"/>
    <s v="Sunday"/>
    <x v="17"/>
    <n v="0"/>
  </r>
  <r>
    <s v="Bonfire"/>
    <x v="3"/>
    <x v="16"/>
    <n v="40"/>
    <n v="65"/>
    <n v="15"/>
    <n v="14"/>
    <n v="1"/>
    <x v="13"/>
    <s v="Sunday"/>
    <x v="71"/>
    <n v="25"/>
  </r>
  <r>
    <s v="Choco Lava"/>
    <x v="3"/>
    <x v="17"/>
    <n v="50"/>
    <n v="70"/>
    <n v="0"/>
    <n v="0"/>
    <n v="0"/>
    <x v="13"/>
    <s v="Sunday"/>
    <x v="17"/>
    <n v="0"/>
  </r>
  <r>
    <s v="Cupcakes"/>
    <x v="3"/>
    <x v="18"/>
    <n v="20"/>
    <n v="30"/>
    <n v="20"/>
    <n v="15"/>
    <n v="5"/>
    <x v="13"/>
    <s v="Sunday"/>
    <x v="22"/>
    <n v="50"/>
  </r>
  <r>
    <s v="Muffins"/>
    <x v="3"/>
    <x v="19"/>
    <n v="10"/>
    <n v="20"/>
    <n v="11"/>
    <n v="8"/>
    <n v="3"/>
    <x v="13"/>
    <s v="Sunday"/>
    <x v="42"/>
    <n v="30"/>
  </r>
  <r>
    <s v="Jar Cakes"/>
    <x v="3"/>
    <x v="20"/>
    <n v="60"/>
    <n v="100"/>
    <n v="6"/>
    <n v="6"/>
    <n v="0"/>
    <x v="13"/>
    <s v="Sunday"/>
    <x v="17"/>
    <n v="0"/>
  </r>
  <r>
    <s v="Paneer Sandwich"/>
    <x v="4"/>
    <x v="21"/>
    <n v="50"/>
    <n v="70"/>
    <n v="5"/>
    <n v="4"/>
    <n v="1"/>
    <x v="13"/>
    <s v="Sunday"/>
    <x v="20"/>
    <n v="20"/>
  </r>
  <r>
    <s v="Hotdog"/>
    <x v="4"/>
    <x v="22"/>
    <n v="45"/>
    <n v="65"/>
    <n v="1"/>
    <n v="1"/>
    <n v="0"/>
    <x v="13"/>
    <s v="Sunday"/>
    <x v="17"/>
    <n v="0"/>
  </r>
  <r>
    <s v="Paneer Roll"/>
    <x v="4"/>
    <x v="23"/>
    <n v="50"/>
    <n v="70"/>
    <n v="0"/>
    <n v="0"/>
    <n v="0"/>
    <x v="13"/>
    <s v="Sunday"/>
    <x v="17"/>
    <n v="0"/>
  </r>
  <r>
    <s v="Aloo Patiz"/>
    <x v="4"/>
    <x v="24"/>
    <n v="10"/>
    <n v="15"/>
    <n v="10"/>
    <n v="3"/>
    <n v="7"/>
    <x v="13"/>
    <s v="Sunday"/>
    <x v="45"/>
    <n v="35"/>
  </r>
  <r>
    <s v="Paneer Patiz"/>
    <x v="4"/>
    <x v="25"/>
    <n v="20"/>
    <n v="25"/>
    <n v="4"/>
    <n v="0"/>
    <n v="4"/>
    <x v="13"/>
    <s v="Sunday"/>
    <x v="33"/>
    <n v="20"/>
  </r>
  <r>
    <s v="Pao"/>
    <x v="5"/>
    <x v="26"/>
    <n v="25"/>
    <n v="30"/>
    <n v="10"/>
    <n v="3"/>
    <n v="7"/>
    <x v="13"/>
    <s v="Sunday"/>
    <x v="24"/>
    <n v="35"/>
  </r>
  <r>
    <s v="Burger Buns"/>
    <x v="5"/>
    <x v="27"/>
    <n v="25"/>
    <n v="30"/>
    <n v="8"/>
    <n v="6"/>
    <n v="2"/>
    <x v="13"/>
    <s v="Sunday"/>
    <x v="42"/>
    <n v="10"/>
  </r>
  <r>
    <s v="Pizza Base"/>
    <x v="5"/>
    <x v="28"/>
    <n v="25"/>
    <n v="30"/>
    <n v="10"/>
    <n v="2"/>
    <n v="8"/>
    <x v="13"/>
    <s v="Sunday"/>
    <x v="47"/>
    <n v="40"/>
  </r>
  <r>
    <s v="Brown Bread"/>
    <x v="5"/>
    <x v="29"/>
    <n v="30"/>
    <n v="35"/>
    <n v="9"/>
    <n v="4"/>
    <n v="5"/>
    <x v="13"/>
    <s v="Sunday"/>
    <x v="64"/>
    <n v="25"/>
  </r>
  <r>
    <s v="Pineapple"/>
    <x v="0"/>
    <x v="0"/>
    <n v="100"/>
    <n v="200"/>
    <n v="1"/>
    <n v="0"/>
    <n v="1"/>
    <x v="14"/>
    <s v="Monday"/>
    <x v="19"/>
    <n v="100"/>
  </r>
  <r>
    <s v="Chocolate Truffle"/>
    <x v="0"/>
    <x v="1"/>
    <n v="200"/>
    <n v="300"/>
    <n v="2"/>
    <n v="2"/>
    <n v="0"/>
    <x v="14"/>
    <s v="Monday"/>
    <x v="17"/>
    <n v="0"/>
  </r>
  <r>
    <s v="Black Forest"/>
    <x v="0"/>
    <x v="2"/>
    <n v="150"/>
    <n v="250"/>
    <n v="1"/>
    <n v="1"/>
    <n v="0"/>
    <x v="14"/>
    <s v="Monday"/>
    <x v="17"/>
    <n v="0"/>
  </r>
  <r>
    <s v="Butter Scotch"/>
    <x v="0"/>
    <x v="3"/>
    <n v="100"/>
    <n v="200"/>
    <n v="3"/>
    <n v="1"/>
    <n v="2"/>
    <x v="14"/>
    <s v="Monday"/>
    <x v="0"/>
    <n v="200"/>
  </r>
  <r>
    <s v="Pineapple"/>
    <x v="1"/>
    <x v="4"/>
    <n v="250"/>
    <n v="350"/>
    <n v="2"/>
    <n v="0"/>
    <n v="2"/>
    <x v="14"/>
    <s v="Monday"/>
    <x v="4"/>
    <n v="200"/>
  </r>
  <r>
    <s v="Chocolate Truffle"/>
    <x v="1"/>
    <x v="5"/>
    <n v="300"/>
    <n v="400"/>
    <n v="1"/>
    <n v="1"/>
    <n v="0"/>
    <x v="14"/>
    <s v="Monday"/>
    <x v="17"/>
    <n v="0"/>
  </r>
  <r>
    <s v="Black Forest"/>
    <x v="1"/>
    <x v="6"/>
    <n v="250"/>
    <n v="350"/>
    <n v="2"/>
    <n v="1"/>
    <n v="1"/>
    <x v="14"/>
    <s v="Monday"/>
    <x v="7"/>
    <n v="100"/>
  </r>
  <r>
    <s v="Butter Scotch"/>
    <x v="1"/>
    <x v="7"/>
    <n v="250"/>
    <n v="350"/>
    <n v="2"/>
    <n v="2"/>
    <n v="0"/>
    <x v="14"/>
    <s v="Monday"/>
    <x v="17"/>
    <n v="0"/>
  </r>
  <r>
    <s v="Chocochip"/>
    <x v="1"/>
    <x v="8"/>
    <n v="300"/>
    <n v="450"/>
    <n v="2"/>
    <n v="0"/>
    <n v="2"/>
    <x v="14"/>
    <s v="Monday"/>
    <x v="1"/>
    <n v="300"/>
  </r>
  <r>
    <s v="Fruit Cake(400gram)"/>
    <x v="2"/>
    <x v="9"/>
    <n v="320"/>
    <n v="400"/>
    <n v="0"/>
    <n v="0"/>
    <n v="0"/>
    <x v="14"/>
    <s v="Monday"/>
    <x v="17"/>
    <n v="0"/>
  </r>
  <r>
    <s v="Fruit Cake(200gram)"/>
    <x v="2"/>
    <x v="10"/>
    <n v="100"/>
    <n v="150"/>
    <n v="5"/>
    <n v="3"/>
    <n v="2"/>
    <x v="14"/>
    <s v="Monday"/>
    <x v="62"/>
    <n v="100"/>
  </r>
  <r>
    <s v="Pineapple"/>
    <x v="3"/>
    <x v="11"/>
    <n v="25"/>
    <n v="40"/>
    <n v="19"/>
    <n v="3"/>
    <n v="16"/>
    <x v="14"/>
    <s v="Monday"/>
    <x v="73"/>
    <n v="240"/>
  </r>
  <r>
    <s v="Chocolate Truffle"/>
    <x v="3"/>
    <x v="12"/>
    <n v="30"/>
    <n v="50"/>
    <n v="4"/>
    <n v="4"/>
    <n v="0"/>
    <x v="14"/>
    <s v="Monday"/>
    <x v="17"/>
    <n v="0"/>
  </r>
  <r>
    <s v="Butter Scotch"/>
    <x v="3"/>
    <x v="13"/>
    <n v="25"/>
    <n v="40"/>
    <n v="3"/>
    <n v="2"/>
    <n v="1"/>
    <x v="14"/>
    <s v="Monday"/>
    <x v="35"/>
    <n v="15"/>
  </r>
  <r>
    <s v="Black Forest"/>
    <x v="3"/>
    <x v="14"/>
    <n v="25"/>
    <n v="40"/>
    <n v="5"/>
    <n v="3"/>
    <n v="2"/>
    <x v="14"/>
    <s v="Monday"/>
    <x v="44"/>
    <n v="30"/>
  </r>
  <r>
    <s v="Chocochip"/>
    <x v="3"/>
    <x v="15"/>
    <n v="30"/>
    <n v="55"/>
    <n v="2"/>
    <n v="1"/>
    <n v="1"/>
    <x v="14"/>
    <s v="Monday"/>
    <x v="30"/>
    <n v="25"/>
  </r>
  <r>
    <s v="Bonfire"/>
    <x v="3"/>
    <x v="16"/>
    <n v="40"/>
    <n v="65"/>
    <n v="14"/>
    <n v="14"/>
    <n v="0"/>
    <x v="14"/>
    <s v="Monday"/>
    <x v="17"/>
    <n v="0"/>
  </r>
  <r>
    <s v="Choco Lava"/>
    <x v="3"/>
    <x v="17"/>
    <n v="50"/>
    <n v="70"/>
    <n v="0"/>
    <n v="0"/>
    <n v="0"/>
    <x v="14"/>
    <s v="Monday"/>
    <x v="17"/>
    <n v="0"/>
  </r>
  <r>
    <s v="Cupcakes"/>
    <x v="3"/>
    <x v="18"/>
    <n v="20"/>
    <n v="30"/>
    <n v="15"/>
    <n v="9"/>
    <n v="6"/>
    <x v="14"/>
    <s v="Monday"/>
    <x v="34"/>
    <n v="60"/>
  </r>
  <r>
    <s v="Muffins"/>
    <x v="3"/>
    <x v="19"/>
    <n v="10"/>
    <n v="20"/>
    <n v="8"/>
    <n v="8"/>
    <n v="0"/>
    <x v="14"/>
    <s v="Monday"/>
    <x v="17"/>
    <n v="0"/>
  </r>
  <r>
    <s v="Jar Cakes"/>
    <x v="3"/>
    <x v="20"/>
    <n v="60"/>
    <n v="100"/>
    <n v="6"/>
    <n v="6"/>
    <n v="0"/>
    <x v="14"/>
    <s v="Monday"/>
    <x v="17"/>
    <n v="0"/>
  </r>
  <r>
    <s v="Paneer Sandwich"/>
    <x v="4"/>
    <x v="21"/>
    <n v="50"/>
    <n v="70"/>
    <n v="4"/>
    <n v="0"/>
    <n v="4"/>
    <x v="14"/>
    <s v="Monday"/>
    <x v="29"/>
    <n v="80"/>
  </r>
  <r>
    <s v="Hotdog"/>
    <x v="4"/>
    <x v="22"/>
    <n v="45"/>
    <n v="65"/>
    <n v="1"/>
    <n v="1"/>
    <n v="0"/>
    <x v="14"/>
    <s v="Monday"/>
    <x v="17"/>
    <n v="0"/>
  </r>
  <r>
    <s v="Paneer Roll"/>
    <x v="4"/>
    <x v="23"/>
    <n v="50"/>
    <n v="70"/>
    <n v="0"/>
    <n v="0"/>
    <n v="0"/>
    <x v="14"/>
    <s v="Monday"/>
    <x v="17"/>
    <n v="0"/>
  </r>
  <r>
    <s v="Aloo Patiz"/>
    <x v="4"/>
    <x v="24"/>
    <n v="10"/>
    <n v="15"/>
    <n v="8"/>
    <n v="2"/>
    <n v="6"/>
    <x v="14"/>
    <s v="Monday"/>
    <x v="38"/>
    <n v="30"/>
  </r>
  <r>
    <s v="Paneer Patiz"/>
    <x v="4"/>
    <x v="25"/>
    <n v="20"/>
    <n v="25"/>
    <n v="5"/>
    <n v="4"/>
    <n v="1"/>
    <x v="14"/>
    <s v="Monday"/>
    <x v="39"/>
    <n v="5"/>
  </r>
  <r>
    <s v="Pao"/>
    <x v="5"/>
    <x v="26"/>
    <n v="25"/>
    <n v="30"/>
    <n v="3"/>
    <n v="0"/>
    <n v="3"/>
    <x v="14"/>
    <s v="Monday"/>
    <x v="38"/>
    <n v="15"/>
  </r>
  <r>
    <s v="Burger Buns"/>
    <x v="5"/>
    <x v="27"/>
    <n v="25"/>
    <n v="30"/>
    <n v="6"/>
    <n v="2"/>
    <n v="4"/>
    <x v="14"/>
    <s v="Monday"/>
    <x v="28"/>
    <n v="20"/>
  </r>
  <r>
    <s v="Pizza Base"/>
    <x v="5"/>
    <x v="28"/>
    <n v="25"/>
    <n v="30"/>
    <n v="2"/>
    <n v="1"/>
    <n v="1"/>
    <x v="14"/>
    <s v="Monday"/>
    <x v="32"/>
    <n v="5"/>
  </r>
  <r>
    <s v="Brown Bread"/>
    <x v="5"/>
    <x v="29"/>
    <n v="30"/>
    <n v="35"/>
    <n v="4"/>
    <n v="0"/>
    <n v="4"/>
    <x v="14"/>
    <s v="Monday"/>
    <x v="25"/>
    <n v="20"/>
  </r>
  <r>
    <s v="Pineapple"/>
    <x v="0"/>
    <x v="0"/>
    <n v="100"/>
    <n v="200"/>
    <n v="3"/>
    <n v="2"/>
    <n v="1"/>
    <x v="15"/>
    <s v="Wednesday "/>
    <x v="19"/>
    <n v="100"/>
  </r>
  <r>
    <s v="Chocolate Truffle"/>
    <x v="0"/>
    <x v="1"/>
    <n v="200"/>
    <n v="300"/>
    <n v="2"/>
    <n v="1"/>
    <n v="1"/>
    <x v="15"/>
    <s v="Wednesday "/>
    <x v="62"/>
    <n v="100"/>
  </r>
  <r>
    <s v="Black Forest"/>
    <x v="0"/>
    <x v="2"/>
    <n v="150"/>
    <n v="250"/>
    <n v="3"/>
    <n v="1"/>
    <n v="2"/>
    <x v="15"/>
    <s v="Wednesday "/>
    <x v="12"/>
    <n v="200"/>
  </r>
  <r>
    <s v="Butter Scotch"/>
    <x v="0"/>
    <x v="3"/>
    <n v="100"/>
    <n v="200"/>
    <n v="4"/>
    <n v="1"/>
    <n v="3"/>
    <x v="15"/>
    <s v="Wednesday "/>
    <x v="3"/>
    <n v="300"/>
  </r>
  <r>
    <s v="Pineapple"/>
    <x v="1"/>
    <x v="4"/>
    <n v="250"/>
    <n v="350"/>
    <n v="2"/>
    <n v="2"/>
    <n v="0"/>
    <x v="15"/>
    <s v="Wednesday "/>
    <x v="17"/>
    <n v="0"/>
  </r>
  <r>
    <s v="Chocolate Truffle"/>
    <x v="1"/>
    <x v="5"/>
    <n v="300"/>
    <n v="400"/>
    <n v="1"/>
    <n v="1"/>
    <n v="0"/>
    <x v="15"/>
    <s v="Wednesday "/>
    <x v="17"/>
    <n v="0"/>
  </r>
  <r>
    <s v="Black Forest"/>
    <x v="1"/>
    <x v="6"/>
    <n v="250"/>
    <n v="350"/>
    <n v="2"/>
    <n v="1"/>
    <n v="1"/>
    <x v="15"/>
    <s v="Wednesday "/>
    <x v="7"/>
    <n v="100"/>
  </r>
  <r>
    <s v="Butter Scotch"/>
    <x v="1"/>
    <x v="7"/>
    <n v="250"/>
    <n v="350"/>
    <n v="2"/>
    <n v="1"/>
    <n v="1"/>
    <x v="15"/>
    <s v="Wednesday "/>
    <x v="7"/>
    <n v="100"/>
  </r>
  <r>
    <s v="Chocochip"/>
    <x v="1"/>
    <x v="8"/>
    <n v="300"/>
    <n v="450"/>
    <n v="1"/>
    <n v="1"/>
    <n v="0"/>
    <x v="15"/>
    <s v="Wednesday "/>
    <x v="17"/>
    <n v="0"/>
  </r>
  <r>
    <s v="Fruit Cake(400gram)"/>
    <x v="2"/>
    <x v="9"/>
    <n v="320"/>
    <n v="400"/>
    <n v="0"/>
    <n v="0"/>
    <n v="0"/>
    <x v="15"/>
    <s v="Wednesday "/>
    <x v="17"/>
    <n v="0"/>
  </r>
  <r>
    <s v="Fruit Cake(200gram)"/>
    <x v="2"/>
    <x v="10"/>
    <n v="100"/>
    <n v="150"/>
    <n v="3"/>
    <n v="3"/>
    <n v="0"/>
    <x v="15"/>
    <s v="Wednesday "/>
    <x v="17"/>
    <n v="0"/>
  </r>
  <r>
    <s v="Pineapple"/>
    <x v="3"/>
    <x v="11"/>
    <n v="25"/>
    <n v="40"/>
    <n v="11"/>
    <n v="3"/>
    <n v="8"/>
    <x v="15"/>
    <s v="Wednesday "/>
    <x v="48"/>
    <n v="120"/>
  </r>
  <r>
    <s v="Chocolate Truffle"/>
    <x v="3"/>
    <x v="12"/>
    <n v="30"/>
    <n v="50"/>
    <n v="12"/>
    <n v="5"/>
    <n v="7"/>
    <x v="15"/>
    <s v="Wednesday "/>
    <x v="7"/>
    <n v="140"/>
  </r>
  <r>
    <s v="Butter Scotch"/>
    <x v="3"/>
    <x v="13"/>
    <n v="25"/>
    <n v="40"/>
    <n v="10"/>
    <n v="10"/>
    <n v="0"/>
    <x v="15"/>
    <s v="Wednesday "/>
    <x v="17"/>
    <n v="0"/>
  </r>
  <r>
    <s v="Black Forest"/>
    <x v="3"/>
    <x v="14"/>
    <n v="25"/>
    <n v="40"/>
    <n v="11"/>
    <n v="7"/>
    <n v="4"/>
    <x v="15"/>
    <s v="Wednesday "/>
    <x v="63"/>
    <n v="60"/>
  </r>
  <r>
    <s v="Chocochip"/>
    <x v="3"/>
    <x v="15"/>
    <n v="30"/>
    <n v="55"/>
    <n v="9"/>
    <n v="9"/>
    <n v="0"/>
    <x v="15"/>
    <s v="Wednesday "/>
    <x v="17"/>
    <n v="0"/>
  </r>
  <r>
    <s v="Bonfire"/>
    <x v="3"/>
    <x v="16"/>
    <n v="40"/>
    <n v="65"/>
    <n v="14"/>
    <n v="1"/>
    <n v="13"/>
    <x v="15"/>
    <s v="Wednesday "/>
    <x v="74"/>
    <n v="325"/>
  </r>
  <r>
    <s v="Choco Lava"/>
    <x v="3"/>
    <x v="17"/>
    <n v="50"/>
    <n v="70"/>
    <n v="0"/>
    <n v="0"/>
    <n v="0"/>
    <x v="15"/>
    <s v="Wednesday "/>
    <x v="17"/>
    <n v="0"/>
  </r>
  <r>
    <s v="Cupcakes"/>
    <x v="3"/>
    <x v="18"/>
    <n v="20"/>
    <n v="30"/>
    <n v="28"/>
    <n v="22"/>
    <n v="6"/>
    <x v="15"/>
    <s v="Wednesday "/>
    <x v="34"/>
    <n v="60"/>
  </r>
  <r>
    <s v="Muffins"/>
    <x v="3"/>
    <x v="19"/>
    <n v="10"/>
    <n v="20"/>
    <n v="17"/>
    <n v="17"/>
    <n v="0"/>
    <x v="15"/>
    <s v="Wednesday "/>
    <x v="17"/>
    <n v="0"/>
  </r>
  <r>
    <s v="Jar Cakes"/>
    <x v="3"/>
    <x v="20"/>
    <n v="60"/>
    <n v="100"/>
    <n v="6"/>
    <n v="6"/>
    <n v="0"/>
    <x v="15"/>
    <s v="Wednesday "/>
    <x v="17"/>
    <n v="0"/>
  </r>
  <r>
    <s v="Paneer Sandwich"/>
    <x v="4"/>
    <x v="21"/>
    <n v="50"/>
    <n v="70"/>
    <n v="0"/>
    <n v="0"/>
    <n v="0"/>
    <x v="15"/>
    <s v="Wednesday "/>
    <x v="17"/>
    <n v="0"/>
  </r>
  <r>
    <s v="Hotdog"/>
    <x v="4"/>
    <x v="22"/>
    <n v="45"/>
    <n v="65"/>
    <n v="1"/>
    <n v="0"/>
    <n v="1"/>
    <x v="15"/>
    <s v="Wednesday "/>
    <x v="71"/>
    <n v="20"/>
  </r>
  <r>
    <s v="Paneer Roll"/>
    <x v="4"/>
    <x v="23"/>
    <n v="50"/>
    <n v="70"/>
    <n v="0"/>
    <n v="0"/>
    <n v="0"/>
    <x v="15"/>
    <s v="Wednesday "/>
    <x v="17"/>
    <n v="0"/>
  </r>
  <r>
    <s v="Aloo Patiz"/>
    <x v="4"/>
    <x v="24"/>
    <n v="10"/>
    <n v="15"/>
    <n v="7"/>
    <n v="2"/>
    <n v="5"/>
    <x v="15"/>
    <s v="Wednesday "/>
    <x v="49"/>
    <n v="25"/>
  </r>
  <r>
    <s v="Paneer Patiz"/>
    <x v="4"/>
    <x v="25"/>
    <n v="20"/>
    <n v="25"/>
    <n v="9"/>
    <n v="3"/>
    <n v="6"/>
    <x v="15"/>
    <s v="Wednesday "/>
    <x v="22"/>
    <n v="30"/>
  </r>
  <r>
    <s v="Pao"/>
    <x v="5"/>
    <x v="26"/>
    <n v="25"/>
    <n v="30"/>
    <n v="10"/>
    <n v="6"/>
    <n v="4"/>
    <x v="15"/>
    <s v="Wednesday "/>
    <x v="28"/>
    <n v="20"/>
  </r>
  <r>
    <s v="Burger Buns"/>
    <x v="5"/>
    <x v="27"/>
    <n v="25"/>
    <n v="30"/>
    <n v="8"/>
    <n v="7"/>
    <n v="1"/>
    <x v="15"/>
    <s v="Wednesday "/>
    <x v="32"/>
    <n v="5"/>
  </r>
  <r>
    <s v="Pizza Base"/>
    <x v="5"/>
    <x v="28"/>
    <n v="25"/>
    <n v="30"/>
    <n v="7"/>
    <n v="5"/>
    <n v="2"/>
    <x v="15"/>
    <s v="Wednesday "/>
    <x v="42"/>
    <n v="10"/>
  </r>
  <r>
    <s v="Brown Bread"/>
    <x v="5"/>
    <x v="29"/>
    <n v="30"/>
    <n v="35"/>
    <n v="10"/>
    <n v="8"/>
    <n v="2"/>
    <x v="15"/>
    <s v="Wednesday "/>
    <x v="20"/>
    <n v="10"/>
  </r>
  <r>
    <s v="Pineapple"/>
    <x v="0"/>
    <x v="0"/>
    <n v="100"/>
    <n v="200"/>
    <n v="2"/>
    <n v="1"/>
    <n v="1"/>
    <x v="16"/>
    <s v="Thursday"/>
    <x v="19"/>
    <n v="100"/>
  </r>
  <r>
    <s v="Chocolate Truffle"/>
    <x v="0"/>
    <x v="1"/>
    <n v="200"/>
    <n v="300"/>
    <n v="1"/>
    <n v="1"/>
    <n v="0"/>
    <x v="16"/>
    <s v="Thursday"/>
    <x v="17"/>
    <n v="0"/>
  </r>
  <r>
    <s v="Black Forest"/>
    <x v="0"/>
    <x v="2"/>
    <n v="150"/>
    <n v="250"/>
    <n v="2"/>
    <n v="2"/>
    <n v="0"/>
    <x v="16"/>
    <s v="Thursday"/>
    <x v="17"/>
    <n v="0"/>
  </r>
  <r>
    <s v="Butter Scotch"/>
    <x v="0"/>
    <x v="3"/>
    <n v="100"/>
    <n v="200"/>
    <n v="1"/>
    <n v="0"/>
    <n v="1"/>
    <x v="16"/>
    <s v="Thursday"/>
    <x v="19"/>
    <n v="100"/>
  </r>
  <r>
    <s v="Pineapple"/>
    <x v="1"/>
    <x v="4"/>
    <n v="250"/>
    <n v="350"/>
    <n v="2"/>
    <n v="1"/>
    <n v="1"/>
    <x v="16"/>
    <s v="Thursday"/>
    <x v="7"/>
    <n v="100"/>
  </r>
  <r>
    <s v="Chocolate Truffle"/>
    <x v="1"/>
    <x v="5"/>
    <n v="300"/>
    <n v="400"/>
    <n v="1"/>
    <n v="1"/>
    <n v="0"/>
    <x v="16"/>
    <s v="Thursday"/>
    <x v="17"/>
    <n v="0"/>
  </r>
  <r>
    <s v="Black Forest"/>
    <x v="1"/>
    <x v="6"/>
    <n v="250"/>
    <n v="350"/>
    <n v="1"/>
    <n v="0"/>
    <n v="1"/>
    <x v="16"/>
    <s v="Thursday"/>
    <x v="7"/>
    <n v="100"/>
  </r>
  <r>
    <s v="Butter Scotch"/>
    <x v="1"/>
    <x v="7"/>
    <n v="250"/>
    <n v="350"/>
    <n v="1"/>
    <n v="0"/>
    <n v="1"/>
    <x v="16"/>
    <s v="Thursday"/>
    <x v="7"/>
    <n v="100"/>
  </r>
  <r>
    <s v="Chocochip"/>
    <x v="1"/>
    <x v="8"/>
    <n v="300"/>
    <n v="450"/>
    <n v="1"/>
    <n v="1"/>
    <n v="0"/>
    <x v="16"/>
    <s v="Thursday"/>
    <x v="17"/>
    <n v="0"/>
  </r>
  <r>
    <s v="Fruit Cake(400gram)"/>
    <x v="2"/>
    <x v="9"/>
    <n v="320"/>
    <n v="400"/>
    <n v="0"/>
    <n v="0"/>
    <n v="0"/>
    <x v="16"/>
    <s v="Thursday"/>
    <x v="17"/>
    <n v="0"/>
  </r>
  <r>
    <s v="Fruit Cake(200gram)"/>
    <x v="2"/>
    <x v="10"/>
    <n v="100"/>
    <n v="150"/>
    <n v="3"/>
    <n v="3"/>
    <n v="0"/>
    <x v="16"/>
    <s v="Thursday"/>
    <x v="17"/>
    <n v="0"/>
  </r>
  <r>
    <s v="Pineapple"/>
    <x v="3"/>
    <x v="11"/>
    <n v="25"/>
    <n v="40"/>
    <n v="3"/>
    <n v="3"/>
    <n v="0"/>
    <x v="16"/>
    <s v="Thursday"/>
    <x v="17"/>
    <n v="0"/>
  </r>
  <r>
    <s v="Chocolate Truffle"/>
    <x v="3"/>
    <x v="12"/>
    <n v="30"/>
    <n v="50"/>
    <n v="5"/>
    <n v="4"/>
    <n v="1"/>
    <x v="16"/>
    <s v="Thursday"/>
    <x v="41"/>
    <n v="20"/>
  </r>
  <r>
    <s v="Butter Scotch"/>
    <x v="3"/>
    <x v="13"/>
    <n v="25"/>
    <n v="40"/>
    <n v="10"/>
    <n v="10"/>
    <n v="0"/>
    <x v="16"/>
    <s v="Thursday"/>
    <x v="17"/>
    <n v="0"/>
  </r>
  <r>
    <s v="Black Forest"/>
    <x v="3"/>
    <x v="14"/>
    <n v="25"/>
    <n v="40"/>
    <n v="7"/>
    <n v="7"/>
    <n v="0"/>
    <x v="16"/>
    <s v="Thursday"/>
    <x v="17"/>
    <n v="0"/>
  </r>
  <r>
    <s v="Chocochip"/>
    <x v="3"/>
    <x v="15"/>
    <n v="30"/>
    <n v="55"/>
    <n v="9"/>
    <n v="8"/>
    <n v="1"/>
    <x v="16"/>
    <s v="Thursday"/>
    <x v="30"/>
    <n v="25"/>
  </r>
  <r>
    <s v="Bonfire"/>
    <x v="3"/>
    <x v="16"/>
    <n v="40"/>
    <n v="65"/>
    <n v="11"/>
    <n v="8"/>
    <n v="3"/>
    <x v="16"/>
    <s v="Thursday"/>
    <x v="65"/>
    <n v="75"/>
  </r>
  <r>
    <s v="Choco Lava"/>
    <x v="3"/>
    <x v="17"/>
    <n v="50"/>
    <n v="70"/>
    <n v="0"/>
    <n v="0"/>
    <n v="0"/>
    <x v="16"/>
    <s v="Thursday"/>
    <x v="17"/>
    <n v="0"/>
  </r>
  <r>
    <s v="Cupcakes"/>
    <x v="3"/>
    <x v="18"/>
    <n v="20"/>
    <n v="30"/>
    <n v="22"/>
    <n v="22"/>
    <n v="0"/>
    <x v="16"/>
    <s v="Thursday"/>
    <x v="17"/>
    <n v="0"/>
  </r>
  <r>
    <s v="Muffins"/>
    <x v="3"/>
    <x v="19"/>
    <n v="10"/>
    <n v="20"/>
    <n v="17"/>
    <n v="17"/>
    <n v="0"/>
    <x v="16"/>
    <s v="Thursday"/>
    <x v="17"/>
    <n v="0"/>
  </r>
  <r>
    <s v="Jar Cakes"/>
    <x v="3"/>
    <x v="20"/>
    <n v="60"/>
    <n v="100"/>
    <n v="6"/>
    <n v="6"/>
    <n v="0"/>
    <x v="16"/>
    <s v="Thursday"/>
    <x v="17"/>
    <n v="0"/>
  </r>
  <r>
    <s v="Paneer Sandwich"/>
    <x v="4"/>
    <x v="21"/>
    <n v="50"/>
    <n v="70"/>
    <n v="0"/>
    <n v="0"/>
    <n v="0"/>
    <x v="16"/>
    <s v="Thursday"/>
    <x v="17"/>
    <n v="0"/>
  </r>
  <r>
    <s v="Hotdog"/>
    <x v="4"/>
    <x v="22"/>
    <n v="45"/>
    <n v="65"/>
    <n v="0"/>
    <n v="0"/>
    <n v="0"/>
    <x v="16"/>
    <s v="Thursday"/>
    <x v="17"/>
    <n v="0"/>
  </r>
  <r>
    <s v="Paneer Roll"/>
    <x v="4"/>
    <x v="23"/>
    <n v="50"/>
    <n v="70"/>
    <n v="0"/>
    <n v="0"/>
    <n v="0"/>
    <x v="16"/>
    <s v="Thursday"/>
    <x v="17"/>
    <n v="0"/>
  </r>
  <r>
    <s v="Aloo Patiz"/>
    <x v="4"/>
    <x v="24"/>
    <n v="10"/>
    <n v="15"/>
    <n v="2"/>
    <n v="0"/>
    <n v="2"/>
    <x v="16"/>
    <s v="Thursday"/>
    <x v="32"/>
    <n v="10"/>
  </r>
  <r>
    <s v="Paneer Patiz"/>
    <x v="4"/>
    <x v="25"/>
    <n v="20"/>
    <n v="25"/>
    <n v="3"/>
    <n v="0"/>
    <n v="3"/>
    <x v="16"/>
    <s v="Thursday"/>
    <x v="49"/>
    <n v="15"/>
  </r>
  <r>
    <s v="Pao"/>
    <x v="5"/>
    <x v="26"/>
    <n v="25"/>
    <n v="30"/>
    <n v="16"/>
    <n v="10"/>
    <n v="6"/>
    <x v="16"/>
    <s v="Thursday"/>
    <x v="34"/>
    <n v="30"/>
  </r>
  <r>
    <s v="Burger Buns"/>
    <x v="5"/>
    <x v="27"/>
    <n v="25"/>
    <n v="30"/>
    <n v="7"/>
    <n v="7"/>
    <n v="0"/>
    <x v="16"/>
    <s v="Thursday"/>
    <x v="17"/>
    <n v="0"/>
  </r>
  <r>
    <s v="Pizza Base"/>
    <x v="5"/>
    <x v="28"/>
    <n v="25"/>
    <n v="30"/>
    <n v="5"/>
    <n v="5"/>
    <n v="0"/>
    <x v="16"/>
    <s v="Thursday"/>
    <x v="17"/>
    <n v="0"/>
  </r>
  <r>
    <s v="Brown Bread"/>
    <x v="5"/>
    <x v="29"/>
    <n v="30"/>
    <n v="35"/>
    <n v="13"/>
    <n v="2"/>
    <n v="11"/>
    <x v="16"/>
    <s v="Thursday"/>
    <x v="75"/>
    <n v="55"/>
  </r>
  <r>
    <s v="Pineapple"/>
    <x v="0"/>
    <x v="0"/>
    <n v="100"/>
    <n v="200"/>
    <n v="3"/>
    <n v="1"/>
    <n v="2"/>
    <x v="17"/>
    <s v="Friday"/>
    <x v="0"/>
    <n v="200"/>
  </r>
  <r>
    <s v="Chocolate Truffle"/>
    <x v="0"/>
    <x v="1"/>
    <n v="200"/>
    <n v="300"/>
    <n v="3"/>
    <n v="3"/>
    <n v="0"/>
    <x v="17"/>
    <s v="Friday"/>
    <x v="17"/>
    <n v="0"/>
  </r>
  <r>
    <s v="Black Forest"/>
    <x v="0"/>
    <x v="2"/>
    <n v="150"/>
    <n v="250"/>
    <n v="4"/>
    <n v="1"/>
    <n v="3"/>
    <x v="17"/>
    <s v="Friday"/>
    <x v="2"/>
    <n v="300"/>
  </r>
  <r>
    <s v="Butter Scotch"/>
    <x v="0"/>
    <x v="3"/>
    <n v="100"/>
    <n v="200"/>
    <n v="2"/>
    <n v="1"/>
    <n v="1"/>
    <x v="17"/>
    <s v="Friday"/>
    <x v="19"/>
    <n v="100"/>
  </r>
  <r>
    <s v="Pineapple"/>
    <x v="1"/>
    <x v="4"/>
    <n v="250"/>
    <n v="350"/>
    <n v="2"/>
    <n v="2"/>
    <n v="0"/>
    <x v="17"/>
    <s v="Friday"/>
    <x v="17"/>
    <n v="0"/>
  </r>
  <r>
    <s v="Chocolate Truffle"/>
    <x v="1"/>
    <x v="5"/>
    <n v="300"/>
    <n v="400"/>
    <n v="2"/>
    <n v="2"/>
    <n v="0"/>
    <x v="17"/>
    <s v="Friday"/>
    <x v="17"/>
    <n v="0"/>
  </r>
  <r>
    <s v="Black Forest"/>
    <x v="1"/>
    <x v="6"/>
    <n v="250"/>
    <n v="350"/>
    <n v="2"/>
    <n v="1"/>
    <n v="1"/>
    <x v="17"/>
    <s v="Friday"/>
    <x v="7"/>
    <n v="100"/>
  </r>
  <r>
    <s v="Butter Scotch"/>
    <x v="1"/>
    <x v="7"/>
    <n v="250"/>
    <n v="350"/>
    <n v="0"/>
    <n v="0"/>
    <n v="0"/>
    <x v="17"/>
    <s v="Friday"/>
    <x v="17"/>
    <n v="0"/>
  </r>
  <r>
    <s v="Chocochip"/>
    <x v="1"/>
    <x v="8"/>
    <n v="300"/>
    <n v="450"/>
    <n v="1"/>
    <n v="1"/>
    <n v="0"/>
    <x v="17"/>
    <s v="Friday"/>
    <x v="17"/>
    <n v="0"/>
  </r>
  <r>
    <s v="Fruit Cake(400gram)"/>
    <x v="2"/>
    <x v="9"/>
    <n v="320"/>
    <n v="400"/>
    <n v="0"/>
    <n v="0"/>
    <n v="0"/>
    <x v="17"/>
    <s v="Friday"/>
    <x v="17"/>
    <n v="0"/>
  </r>
  <r>
    <s v="Fruit Cake(200gram)"/>
    <x v="2"/>
    <x v="10"/>
    <n v="100"/>
    <n v="150"/>
    <n v="3"/>
    <n v="3"/>
    <n v="0"/>
    <x v="17"/>
    <s v="Friday"/>
    <x v="17"/>
    <n v="0"/>
  </r>
  <r>
    <s v="Pineapple"/>
    <x v="3"/>
    <x v="11"/>
    <n v="25"/>
    <n v="40"/>
    <n v="16"/>
    <n v="15"/>
    <n v="1"/>
    <x v="17"/>
    <s v="Friday"/>
    <x v="35"/>
    <n v="15"/>
  </r>
  <r>
    <s v="Chocolate Truffle"/>
    <x v="3"/>
    <x v="12"/>
    <n v="30"/>
    <n v="50"/>
    <n v="13"/>
    <n v="13"/>
    <n v="0"/>
    <x v="17"/>
    <s v="Friday"/>
    <x v="17"/>
    <n v="0"/>
  </r>
  <r>
    <s v="Butter Scotch"/>
    <x v="3"/>
    <x v="13"/>
    <n v="25"/>
    <n v="40"/>
    <n v="18"/>
    <n v="15"/>
    <n v="3"/>
    <x v="17"/>
    <s v="Friday"/>
    <x v="28"/>
    <n v="45"/>
  </r>
  <r>
    <s v="Black Forest"/>
    <x v="3"/>
    <x v="14"/>
    <n v="25"/>
    <n v="40"/>
    <n v="15"/>
    <n v="9"/>
    <n v="6"/>
    <x v="17"/>
    <s v="Friday"/>
    <x v="47"/>
    <n v="90"/>
  </r>
  <r>
    <s v="Chocochip"/>
    <x v="3"/>
    <x v="15"/>
    <n v="30"/>
    <n v="55"/>
    <n v="16"/>
    <n v="12"/>
    <n v="4"/>
    <x v="17"/>
    <s v="Friday"/>
    <x v="76"/>
    <n v="100"/>
  </r>
  <r>
    <s v="Bonfire"/>
    <x v="3"/>
    <x v="16"/>
    <n v="40"/>
    <n v="65"/>
    <n v="16"/>
    <n v="9"/>
    <n v="7"/>
    <x v="17"/>
    <s v="Friday"/>
    <x v="77"/>
    <n v="175"/>
  </r>
  <r>
    <s v="Choco Lava"/>
    <x v="3"/>
    <x v="17"/>
    <n v="50"/>
    <n v="70"/>
    <n v="0"/>
    <n v="0"/>
    <n v="0"/>
    <x v="17"/>
    <s v="Friday"/>
    <x v="17"/>
    <n v="0"/>
  </r>
  <r>
    <s v="Cupcakes"/>
    <x v="3"/>
    <x v="18"/>
    <n v="20"/>
    <n v="30"/>
    <n v="22"/>
    <n v="17"/>
    <n v="5"/>
    <x v="17"/>
    <s v="Friday"/>
    <x v="22"/>
    <n v="50"/>
  </r>
  <r>
    <s v="Muffins"/>
    <x v="3"/>
    <x v="19"/>
    <n v="10"/>
    <n v="20"/>
    <n v="17"/>
    <n v="17"/>
    <n v="0"/>
    <x v="17"/>
    <s v="Friday"/>
    <x v="17"/>
    <n v="0"/>
  </r>
  <r>
    <s v="Jar Cakes"/>
    <x v="3"/>
    <x v="20"/>
    <n v="60"/>
    <n v="100"/>
    <n v="6"/>
    <n v="4"/>
    <n v="2"/>
    <x v="17"/>
    <s v="Friday"/>
    <x v="19"/>
    <n v="80"/>
  </r>
  <r>
    <s v="Paneer Sandwich"/>
    <x v="4"/>
    <x v="21"/>
    <n v="50"/>
    <n v="70"/>
    <n v="4"/>
    <n v="2"/>
    <n v="2"/>
    <x v="17"/>
    <s v="Friday"/>
    <x v="25"/>
    <n v="40"/>
  </r>
  <r>
    <s v="Hotdog"/>
    <x v="4"/>
    <x v="22"/>
    <n v="45"/>
    <n v="65"/>
    <n v="0"/>
    <n v="0"/>
    <n v="0"/>
    <x v="17"/>
    <s v="Friday"/>
    <x v="17"/>
    <n v="0"/>
  </r>
  <r>
    <s v="Paneer Roll"/>
    <x v="4"/>
    <x v="23"/>
    <n v="50"/>
    <n v="70"/>
    <n v="0"/>
    <n v="0"/>
    <n v="0"/>
    <x v="17"/>
    <s v="Friday"/>
    <x v="17"/>
    <n v="0"/>
  </r>
  <r>
    <s v="Aloo Patiz"/>
    <x v="4"/>
    <x v="24"/>
    <n v="10"/>
    <n v="15"/>
    <n v="5"/>
    <n v="5"/>
    <n v="0"/>
    <x v="17"/>
    <s v="Friday"/>
    <x v="17"/>
    <n v="0"/>
  </r>
  <r>
    <s v="Paneer Patiz"/>
    <x v="4"/>
    <x v="25"/>
    <n v="20"/>
    <n v="25"/>
    <n v="5"/>
    <n v="4"/>
    <n v="1"/>
    <x v="17"/>
    <s v="Friday"/>
    <x v="39"/>
    <n v="5"/>
  </r>
  <r>
    <s v="Pao"/>
    <x v="5"/>
    <x v="26"/>
    <n v="25"/>
    <n v="30"/>
    <n v="10"/>
    <n v="7"/>
    <n v="3"/>
    <x v="17"/>
    <s v="Friday"/>
    <x v="38"/>
    <n v="15"/>
  </r>
  <r>
    <s v="Burger Buns"/>
    <x v="5"/>
    <x v="27"/>
    <n v="25"/>
    <n v="30"/>
    <n v="7"/>
    <n v="7"/>
    <n v="0"/>
    <x v="17"/>
    <s v="Friday"/>
    <x v="17"/>
    <n v="0"/>
  </r>
  <r>
    <s v="Pizza Base"/>
    <x v="5"/>
    <x v="28"/>
    <n v="25"/>
    <n v="30"/>
    <n v="10"/>
    <n v="9"/>
    <n v="1"/>
    <x v="17"/>
    <s v="Friday"/>
    <x v="32"/>
    <n v="5"/>
  </r>
  <r>
    <s v="Brown Bread"/>
    <x v="5"/>
    <x v="29"/>
    <n v="30"/>
    <n v="35"/>
    <n v="7"/>
    <n v="5"/>
    <n v="2"/>
    <x v="17"/>
    <s v="Friday"/>
    <x v="20"/>
    <n v="10"/>
  </r>
  <r>
    <s v="Pineapple"/>
    <x v="0"/>
    <x v="0"/>
    <n v="100"/>
    <n v="200"/>
    <n v="4"/>
    <n v="4"/>
    <n v="0"/>
    <x v="18"/>
    <s v="Saturday"/>
    <x v="17"/>
    <n v="0"/>
  </r>
  <r>
    <s v="Chocolate Truffle"/>
    <x v="0"/>
    <x v="1"/>
    <n v="200"/>
    <n v="300"/>
    <n v="5"/>
    <n v="0"/>
    <n v="5"/>
    <x v="18"/>
    <s v="Saturday"/>
    <x v="10"/>
    <n v="500"/>
  </r>
  <r>
    <s v="Black Forest"/>
    <x v="0"/>
    <x v="2"/>
    <n v="150"/>
    <n v="250"/>
    <n v="3"/>
    <n v="3"/>
    <n v="0"/>
    <x v="18"/>
    <s v="Saturday"/>
    <x v="17"/>
    <n v="0"/>
  </r>
  <r>
    <s v="Butter Scotch"/>
    <x v="0"/>
    <x v="3"/>
    <n v="100"/>
    <n v="200"/>
    <n v="3"/>
    <n v="2"/>
    <n v="1"/>
    <x v="18"/>
    <s v="Saturday"/>
    <x v="19"/>
    <n v="100"/>
  </r>
  <r>
    <s v="Pineapple"/>
    <x v="1"/>
    <x v="4"/>
    <n v="250"/>
    <n v="350"/>
    <n v="4"/>
    <n v="2"/>
    <n v="2"/>
    <x v="18"/>
    <s v="Saturday"/>
    <x v="4"/>
    <n v="200"/>
  </r>
  <r>
    <s v="Chocolate Truffle"/>
    <x v="1"/>
    <x v="5"/>
    <n v="300"/>
    <n v="400"/>
    <n v="4"/>
    <n v="1"/>
    <n v="3"/>
    <x v="18"/>
    <s v="Saturday"/>
    <x v="9"/>
    <n v="300"/>
  </r>
  <r>
    <s v="Black Forest"/>
    <x v="1"/>
    <x v="6"/>
    <n v="250"/>
    <n v="350"/>
    <n v="2"/>
    <n v="0"/>
    <n v="2"/>
    <x v="18"/>
    <s v="Saturday"/>
    <x v="4"/>
    <n v="200"/>
  </r>
  <r>
    <s v="Butter Scotch"/>
    <x v="1"/>
    <x v="7"/>
    <n v="250"/>
    <n v="350"/>
    <n v="1"/>
    <n v="1"/>
    <n v="0"/>
    <x v="18"/>
    <s v="Saturday"/>
    <x v="17"/>
    <n v="0"/>
  </r>
  <r>
    <s v="Chocochip"/>
    <x v="1"/>
    <x v="8"/>
    <n v="300"/>
    <n v="450"/>
    <n v="2"/>
    <n v="0"/>
    <n v="2"/>
    <x v="18"/>
    <s v="Saturday"/>
    <x v="1"/>
    <n v="300"/>
  </r>
  <r>
    <s v="Fruit Cake(400gram)"/>
    <x v="2"/>
    <x v="9"/>
    <n v="320"/>
    <n v="400"/>
    <n v="0"/>
    <n v="0"/>
    <n v="0"/>
    <x v="18"/>
    <s v="Saturday"/>
    <x v="17"/>
    <n v="0"/>
  </r>
  <r>
    <s v="Fruit Cake(200gram)"/>
    <x v="2"/>
    <x v="10"/>
    <n v="100"/>
    <n v="150"/>
    <n v="3"/>
    <n v="3"/>
    <n v="0"/>
    <x v="18"/>
    <s v="Saturday"/>
    <x v="17"/>
    <n v="0"/>
  </r>
  <r>
    <s v="Pineapple"/>
    <x v="3"/>
    <x v="11"/>
    <n v="25"/>
    <n v="40"/>
    <n v="15"/>
    <n v="11"/>
    <n v="4"/>
    <x v="18"/>
    <s v="Saturday"/>
    <x v="63"/>
    <n v="60"/>
  </r>
  <r>
    <s v="Chocolate Truffle"/>
    <x v="3"/>
    <x v="12"/>
    <n v="30"/>
    <n v="50"/>
    <n v="13"/>
    <n v="11"/>
    <n v="2"/>
    <x v="18"/>
    <s v="Saturday"/>
    <x v="33"/>
    <n v="40"/>
  </r>
  <r>
    <s v="Butter Scotch"/>
    <x v="3"/>
    <x v="13"/>
    <n v="25"/>
    <n v="40"/>
    <n v="15"/>
    <n v="10"/>
    <n v="5"/>
    <x v="18"/>
    <s v="Saturday"/>
    <x v="19"/>
    <n v="75"/>
  </r>
  <r>
    <s v="Black Forest"/>
    <x v="3"/>
    <x v="14"/>
    <n v="25"/>
    <n v="40"/>
    <n v="9"/>
    <n v="2"/>
    <n v="7"/>
    <x v="18"/>
    <s v="Saturday"/>
    <x v="29"/>
    <n v="105"/>
  </r>
  <r>
    <s v="Chocochip"/>
    <x v="3"/>
    <x v="15"/>
    <n v="30"/>
    <n v="55"/>
    <n v="12"/>
    <n v="6"/>
    <n v="6"/>
    <x v="18"/>
    <s v="Saturday"/>
    <x v="78"/>
    <n v="150"/>
  </r>
  <r>
    <s v="Bonfire"/>
    <x v="3"/>
    <x v="16"/>
    <n v="40"/>
    <n v="65"/>
    <n v="9"/>
    <n v="5"/>
    <n v="4"/>
    <x v="18"/>
    <s v="Saturday"/>
    <x v="56"/>
    <n v="100"/>
  </r>
  <r>
    <s v="Choco Lava"/>
    <x v="3"/>
    <x v="17"/>
    <n v="50"/>
    <n v="70"/>
    <n v="0"/>
    <n v="0"/>
    <n v="0"/>
    <x v="18"/>
    <s v="Saturday"/>
    <x v="17"/>
    <n v="0"/>
  </r>
  <r>
    <s v="Cupcakes"/>
    <x v="3"/>
    <x v="18"/>
    <n v="20"/>
    <n v="30"/>
    <n v="17"/>
    <n v="13"/>
    <n v="4"/>
    <x v="18"/>
    <s v="Saturday"/>
    <x v="28"/>
    <n v="40"/>
  </r>
  <r>
    <s v="Muffins"/>
    <x v="3"/>
    <x v="19"/>
    <n v="10"/>
    <n v="20"/>
    <n v="17"/>
    <n v="8"/>
    <n v="9"/>
    <x v="18"/>
    <s v="Saturday"/>
    <x v="34"/>
    <n v="90"/>
  </r>
  <r>
    <s v="Jar Cakes"/>
    <x v="3"/>
    <x v="20"/>
    <n v="60"/>
    <n v="100"/>
    <n v="4"/>
    <n v="4"/>
    <n v="0"/>
    <x v="18"/>
    <s v="Saturday"/>
    <x v="17"/>
    <n v="0"/>
  </r>
  <r>
    <s v="Paneer Sandwich"/>
    <x v="4"/>
    <x v="21"/>
    <n v="50"/>
    <n v="70"/>
    <n v="4"/>
    <n v="2"/>
    <n v="2"/>
    <x v="18"/>
    <s v="Saturday"/>
    <x v="25"/>
    <n v="40"/>
  </r>
  <r>
    <s v="Hotdog"/>
    <x v="4"/>
    <x v="22"/>
    <n v="45"/>
    <n v="65"/>
    <n v="0"/>
    <n v="0"/>
    <n v="0"/>
    <x v="18"/>
    <s v="Saturday"/>
    <x v="17"/>
    <n v="0"/>
  </r>
  <r>
    <s v="Paneer Roll"/>
    <x v="4"/>
    <x v="23"/>
    <n v="50"/>
    <n v="70"/>
    <n v="0"/>
    <n v="0"/>
    <n v="0"/>
    <x v="18"/>
    <s v="Saturday"/>
    <x v="17"/>
    <n v="0"/>
  </r>
  <r>
    <s v="Aloo Patiz"/>
    <x v="4"/>
    <x v="24"/>
    <n v="10"/>
    <n v="15"/>
    <n v="10"/>
    <n v="3"/>
    <n v="7"/>
    <x v="18"/>
    <s v="Saturday"/>
    <x v="45"/>
    <n v="35"/>
  </r>
  <r>
    <s v="Paneer Patiz"/>
    <x v="4"/>
    <x v="25"/>
    <n v="20"/>
    <n v="25"/>
    <n v="9"/>
    <n v="4"/>
    <n v="5"/>
    <x v="18"/>
    <s v="Saturday"/>
    <x v="79"/>
    <n v="25"/>
  </r>
  <r>
    <s v="Pao"/>
    <x v="5"/>
    <x v="26"/>
    <n v="25"/>
    <n v="30"/>
    <n v="15"/>
    <n v="8"/>
    <n v="7"/>
    <x v="18"/>
    <s v="Saturday"/>
    <x v="24"/>
    <n v="35"/>
  </r>
  <r>
    <s v="Burger Buns"/>
    <x v="5"/>
    <x v="27"/>
    <n v="25"/>
    <n v="30"/>
    <n v="7"/>
    <n v="6"/>
    <n v="1"/>
    <x v="18"/>
    <s v="Saturday"/>
    <x v="32"/>
    <n v="5"/>
  </r>
  <r>
    <s v="Pizza Base"/>
    <x v="5"/>
    <x v="28"/>
    <n v="25"/>
    <n v="30"/>
    <n v="9"/>
    <n v="4"/>
    <n v="5"/>
    <x v="18"/>
    <s v="Saturday"/>
    <x v="22"/>
    <n v="25"/>
  </r>
  <r>
    <s v="Brown Bread"/>
    <x v="5"/>
    <x v="29"/>
    <n v="30"/>
    <n v="35"/>
    <n v="8"/>
    <n v="8"/>
    <n v="0"/>
    <x v="18"/>
    <s v="Saturday"/>
    <x v="17"/>
    <n v="0"/>
  </r>
  <r>
    <s v="Pineapple"/>
    <x v="0"/>
    <x v="0"/>
    <n v="100"/>
    <n v="200"/>
    <n v="4"/>
    <n v="2"/>
    <n v="2"/>
    <x v="19"/>
    <s v="Sunday"/>
    <x v="0"/>
    <n v="200"/>
  </r>
  <r>
    <s v="Chocolate Truffle"/>
    <x v="0"/>
    <x v="1"/>
    <n v="200"/>
    <n v="300"/>
    <n v="0"/>
    <n v="0"/>
    <n v="0"/>
    <x v="19"/>
    <s v="Sunday"/>
    <x v="17"/>
    <n v="0"/>
  </r>
  <r>
    <s v="Black Forest"/>
    <x v="0"/>
    <x v="2"/>
    <n v="150"/>
    <n v="250"/>
    <n v="3"/>
    <n v="2"/>
    <n v="1"/>
    <x v="19"/>
    <s v="Sunday"/>
    <x v="26"/>
    <n v="100"/>
  </r>
  <r>
    <s v="Butter Scotch"/>
    <x v="0"/>
    <x v="3"/>
    <n v="100"/>
    <n v="200"/>
    <n v="2"/>
    <n v="1"/>
    <n v="1"/>
    <x v="19"/>
    <s v="Sunday"/>
    <x v="19"/>
    <n v="100"/>
  </r>
  <r>
    <s v="Pineapple"/>
    <x v="1"/>
    <x v="4"/>
    <n v="250"/>
    <n v="350"/>
    <n v="2"/>
    <n v="2"/>
    <n v="0"/>
    <x v="19"/>
    <s v="Sunday"/>
    <x v="17"/>
    <n v="0"/>
  </r>
  <r>
    <s v="Chocolate Truffle"/>
    <x v="1"/>
    <x v="5"/>
    <n v="300"/>
    <n v="400"/>
    <n v="1"/>
    <n v="1"/>
    <n v="0"/>
    <x v="19"/>
    <s v="Sunday"/>
    <x v="17"/>
    <n v="0"/>
  </r>
  <r>
    <s v="Black Forest"/>
    <x v="1"/>
    <x v="6"/>
    <n v="250"/>
    <n v="350"/>
    <n v="0"/>
    <n v="0"/>
    <n v="0"/>
    <x v="19"/>
    <s v="Sunday"/>
    <x v="17"/>
    <n v="0"/>
  </r>
  <r>
    <s v="Butter Scotch"/>
    <x v="1"/>
    <x v="7"/>
    <n v="250"/>
    <n v="350"/>
    <n v="2"/>
    <n v="2"/>
    <n v="0"/>
    <x v="19"/>
    <s v="Sunday"/>
    <x v="17"/>
    <n v="0"/>
  </r>
  <r>
    <s v="Chocochip"/>
    <x v="1"/>
    <x v="8"/>
    <n v="300"/>
    <n v="450"/>
    <n v="0"/>
    <n v="0"/>
    <n v="0"/>
    <x v="19"/>
    <s v="Sunday"/>
    <x v="17"/>
    <n v="0"/>
  </r>
  <r>
    <s v="Fruit Cake(400gram)"/>
    <x v="2"/>
    <x v="9"/>
    <n v="320"/>
    <n v="400"/>
    <n v="0"/>
    <n v="0"/>
    <n v="0"/>
    <x v="19"/>
    <s v="Sunday"/>
    <x v="17"/>
    <n v="0"/>
  </r>
  <r>
    <s v="Fruit Cake(200gram)"/>
    <x v="2"/>
    <x v="10"/>
    <n v="100"/>
    <n v="150"/>
    <n v="3"/>
    <n v="3"/>
    <n v="0"/>
    <x v="19"/>
    <s v="Sunday"/>
    <x v="17"/>
    <n v="0"/>
  </r>
  <r>
    <s v="Pineapple"/>
    <x v="3"/>
    <x v="11"/>
    <n v="25"/>
    <n v="40"/>
    <n v="11"/>
    <n v="11"/>
    <n v="0"/>
    <x v="19"/>
    <s v="Sunday"/>
    <x v="17"/>
    <n v="0"/>
  </r>
  <r>
    <s v="Chocolate Truffle"/>
    <x v="3"/>
    <x v="12"/>
    <n v="30"/>
    <n v="50"/>
    <n v="11"/>
    <n v="11"/>
    <n v="0"/>
    <x v="19"/>
    <s v="Sunday"/>
    <x v="17"/>
    <n v="0"/>
  </r>
  <r>
    <s v="Butter Scotch"/>
    <x v="3"/>
    <x v="13"/>
    <n v="25"/>
    <n v="40"/>
    <n v="10"/>
    <n v="8"/>
    <n v="2"/>
    <x v="19"/>
    <s v="Sunday"/>
    <x v="44"/>
    <n v="30"/>
  </r>
  <r>
    <s v="Black Forest"/>
    <x v="3"/>
    <x v="14"/>
    <n v="25"/>
    <n v="40"/>
    <n v="2"/>
    <n v="2"/>
    <n v="0"/>
    <x v="19"/>
    <s v="Sunday"/>
    <x v="17"/>
    <n v="0"/>
  </r>
  <r>
    <s v="Chocochip"/>
    <x v="3"/>
    <x v="15"/>
    <n v="30"/>
    <n v="55"/>
    <n v="6"/>
    <n v="4"/>
    <n v="2"/>
    <x v="19"/>
    <s v="Sunday"/>
    <x v="55"/>
    <n v="50"/>
  </r>
  <r>
    <s v="Bonfire"/>
    <x v="3"/>
    <x v="16"/>
    <n v="40"/>
    <n v="65"/>
    <n v="5"/>
    <n v="4"/>
    <n v="1"/>
    <x v="19"/>
    <s v="Sunday"/>
    <x v="71"/>
    <n v="25"/>
  </r>
  <r>
    <s v="Choco Lava"/>
    <x v="3"/>
    <x v="17"/>
    <n v="50"/>
    <n v="70"/>
    <n v="0"/>
    <n v="0"/>
    <n v="0"/>
    <x v="19"/>
    <s v="Sunday"/>
    <x v="17"/>
    <n v="0"/>
  </r>
  <r>
    <s v="Cupcakes"/>
    <x v="3"/>
    <x v="18"/>
    <n v="20"/>
    <n v="30"/>
    <n v="13"/>
    <n v="13"/>
    <n v="0"/>
    <x v="19"/>
    <s v="Sunday"/>
    <x v="17"/>
    <n v="0"/>
  </r>
  <r>
    <s v="Muffins"/>
    <x v="3"/>
    <x v="19"/>
    <n v="10"/>
    <n v="20"/>
    <n v="8"/>
    <n v="8"/>
    <n v="0"/>
    <x v="19"/>
    <s v="Sunday"/>
    <x v="17"/>
    <n v="0"/>
  </r>
  <r>
    <s v="Jar Cakes"/>
    <x v="3"/>
    <x v="20"/>
    <n v="60"/>
    <n v="100"/>
    <n v="4"/>
    <n v="3"/>
    <n v="1"/>
    <x v="19"/>
    <s v="Sunday"/>
    <x v="33"/>
    <n v="40"/>
  </r>
  <r>
    <s v="Paneer Sandwich"/>
    <x v="4"/>
    <x v="21"/>
    <n v="50"/>
    <n v="70"/>
    <n v="2"/>
    <n v="2"/>
    <n v="0"/>
    <x v="19"/>
    <s v="Sunday"/>
    <x v="17"/>
    <n v="0"/>
  </r>
  <r>
    <s v="Hotdog"/>
    <x v="4"/>
    <x v="22"/>
    <n v="45"/>
    <n v="65"/>
    <n v="0"/>
    <n v="0"/>
    <n v="0"/>
    <x v="19"/>
    <s v="Sunday"/>
    <x v="17"/>
    <n v="0"/>
  </r>
  <r>
    <s v="Paneer Roll"/>
    <x v="4"/>
    <x v="23"/>
    <n v="50"/>
    <n v="70"/>
    <n v="0"/>
    <n v="0"/>
    <n v="0"/>
    <x v="19"/>
    <s v="Sunday"/>
    <x v="17"/>
    <n v="0"/>
  </r>
  <r>
    <s v="Aloo Patiz"/>
    <x v="4"/>
    <x v="24"/>
    <n v="10"/>
    <n v="15"/>
    <n v="8"/>
    <n v="8"/>
    <n v="0"/>
    <x v="19"/>
    <s v="Sunday"/>
    <x v="17"/>
    <n v="0"/>
  </r>
  <r>
    <s v="Paneer Patiz"/>
    <x v="4"/>
    <x v="25"/>
    <n v="20"/>
    <n v="25"/>
    <n v="9"/>
    <n v="7"/>
    <n v="2"/>
    <x v="19"/>
    <s v="Sunday"/>
    <x v="41"/>
    <n v="10"/>
  </r>
  <r>
    <s v="Pao"/>
    <x v="5"/>
    <x v="26"/>
    <n v="25"/>
    <n v="30"/>
    <n v="8"/>
    <n v="8"/>
    <n v="0"/>
    <x v="19"/>
    <s v="Sunday"/>
    <x v="17"/>
    <n v="0"/>
  </r>
  <r>
    <s v="Burger Buns"/>
    <x v="5"/>
    <x v="27"/>
    <n v="25"/>
    <n v="30"/>
    <n v="6"/>
    <n v="6"/>
    <n v="0"/>
    <x v="19"/>
    <s v="Sunday"/>
    <x v="17"/>
    <n v="0"/>
  </r>
  <r>
    <s v="Pizza Base"/>
    <x v="5"/>
    <x v="28"/>
    <n v="25"/>
    <n v="30"/>
    <n v="4"/>
    <n v="4"/>
    <n v="0"/>
    <x v="19"/>
    <s v="Sunday"/>
    <x v="17"/>
    <n v="0"/>
  </r>
  <r>
    <s v="Brown Bread"/>
    <x v="5"/>
    <x v="29"/>
    <n v="30"/>
    <n v="35"/>
    <n v="8"/>
    <n v="5"/>
    <n v="3"/>
    <x v="19"/>
    <s v="Sunday"/>
    <x v="45"/>
    <n v="15"/>
  </r>
  <r>
    <s v="Pineapple"/>
    <x v="0"/>
    <x v="0"/>
    <n v="100"/>
    <n v="200"/>
    <n v="4"/>
    <n v="1"/>
    <n v="3"/>
    <x v="20"/>
    <s v="Monday"/>
    <x v="3"/>
    <n v="300"/>
  </r>
  <r>
    <s v="Chocolate Truffle"/>
    <x v="0"/>
    <x v="1"/>
    <n v="200"/>
    <n v="300"/>
    <n v="2"/>
    <n v="1"/>
    <n v="1"/>
    <x v="20"/>
    <s v="Monday"/>
    <x v="62"/>
    <n v="100"/>
  </r>
  <r>
    <s v="Black Forest"/>
    <x v="0"/>
    <x v="2"/>
    <n v="150"/>
    <n v="250"/>
    <n v="2"/>
    <n v="1"/>
    <n v="1"/>
    <x v="20"/>
    <s v="Monday"/>
    <x v="26"/>
    <n v="100"/>
  </r>
  <r>
    <s v="Butter Scotch"/>
    <x v="0"/>
    <x v="3"/>
    <n v="100"/>
    <n v="200"/>
    <n v="1"/>
    <n v="1"/>
    <n v="0"/>
    <x v="20"/>
    <s v="Monday"/>
    <x v="17"/>
    <n v="0"/>
  </r>
  <r>
    <s v="Pineapple"/>
    <x v="1"/>
    <x v="4"/>
    <n v="250"/>
    <n v="350"/>
    <n v="2"/>
    <n v="1"/>
    <n v="1"/>
    <x v="20"/>
    <s v="Monday"/>
    <x v="7"/>
    <n v="100"/>
  </r>
  <r>
    <s v="Chocolate Truffle"/>
    <x v="1"/>
    <x v="5"/>
    <n v="300"/>
    <n v="400"/>
    <n v="1"/>
    <n v="0"/>
    <n v="1"/>
    <x v="20"/>
    <s v="Monday"/>
    <x v="0"/>
    <n v="100"/>
  </r>
  <r>
    <s v="Black Forest"/>
    <x v="1"/>
    <x v="6"/>
    <n v="250"/>
    <n v="350"/>
    <n v="2"/>
    <n v="2"/>
    <n v="0"/>
    <x v="20"/>
    <s v="Monday"/>
    <x v="17"/>
    <n v="0"/>
  </r>
  <r>
    <s v="Butter Scotch"/>
    <x v="1"/>
    <x v="7"/>
    <n v="250"/>
    <n v="350"/>
    <n v="2"/>
    <n v="1"/>
    <n v="1"/>
    <x v="20"/>
    <s v="Monday"/>
    <x v="7"/>
    <n v="100"/>
  </r>
  <r>
    <s v="Chocochip"/>
    <x v="1"/>
    <x v="8"/>
    <n v="300"/>
    <n v="450"/>
    <n v="0"/>
    <n v="0"/>
    <n v="0"/>
    <x v="20"/>
    <s v="Monday"/>
    <x v="17"/>
    <n v="0"/>
  </r>
  <r>
    <s v="Fruit Cake(400gram)"/>
    <x v="2"/>
    <x v="9"/>
    <n v="320"/>
    <n v="400"/>
    <n v="0"/>
    <n v="0"/>
    <n v="0"/>
    <x v="20"/>
    <s v="Monday"/>
    <x v="17"/>
    <n v="0"/>
  </r>
  <r>
    <s v="Fruit Cake(200gram)"/>
    <x v="2"/>
    <x v="10"/>
    <n v="100"/>
    <n v="150"/>
    <n v="3"/>
    <n v="3"/>
    <n v="0"/>
    <x v="20"/>
    <s v="Monday"/>
    <x v="17"/>
    <n v="0"/>
  </r>
  <r>
    <s v="Pineapple"/>
    <x v="3"/>
    <x v="11"/>
    <n v="25"/>
    <n v="40"/>
    <n v="11"/>
    <n v="3"/>
    <n v="8"/>
    <x v="20"/>
    <s v="Monday"/>
    <x v="48"/>
    <n v="120"/>
  </r>
  <r>
    <s v="Chocolate Truffle"/>
    <x v="3"/>
    <x v="12"/>
    <n v="30"/>
    <n v="50"/>
    <n v="11"/>
    <n v="5"/>
    <n v="6"/>
    <x v="20"/>
    <s v="Monday"/>
    <x v="62"/>
    <n v="120"/>
  </r>
  <r>
    <s v="Butter Scotch"/>
    <x v="3"/>
    <x v="13"/>
    <n v="25"/>
    <n v="40"/>
    <n v="8"/>
    <n v="4"/>
    <n v="4"/>
    <x v="20"/>
    <s v="Monday"/>
    <x v="63"/>
    <n v="60"/>
  </r>
  <r>
    <s v="Black Forest"/>
    <x v="3"/>
    <x v="14"/>
    <n v="25"/>
    <n v="40"/>
    <n v="2"/>
    <n v="0"/>
    <n v="2"/>
    <x v="20"/>
    <s v="Monday"/>
    <x v="44"/>
    <n v="30"/>
  </r>
  <r>
    <s v="Chocochip"/>
    <x v="3"/>
    <x v="15"/>
    <n v="30"/>
    <n v="55"/>
    <n v="4"/>
    <n v="4"/>
    <n v="0"/>
    <x v="20"/>
    <s v="Monday"/>
    <x v="17"/>
    <n v="0"/>
  </r>
  <r>
    <s v="Bonfire"/>
    <x v="3"/>
    <x v="16"/>
    <n v="40"/>
    <n v="65"/>
    <n v="4"/>
    <n v="2"/>
    <n v="2"/>
    <x v="20"/>
    <s v="Monday"/>
    <x v="37"/>
    <n v="50"/>
  </r>
  <r>
    <s v="Choco Lava"/>
    <x v="3"/>
    <x v="17"/>
    <n v="50"/>
    <n v="70"/>
    <n v="0"/>
    <n v="0"/>
    <n v="0"/>
    <x v="20"/>
    <s v="Monday"/>
    <x v="17"/>
    <n v="0"/>
  </r>
  <r>
    <s v="Cupcakes"/>
    <x v="3"/>
    <x v="18"/>
    <n v="20"/>
    <n v="30"/>
    <n v="13"/>
    <n v="11"/>
    <n v="2"/>
    <x v="20"/>
    <s v="Monday"/>
    <x v="42"/>
    <n v="20"/>
  </r>
  <r>
    <s v="Muffins"/>
    <x v="3"/>
    <x v="19"/>
    <n v="10"/>
    <n v="20"/>
    <n v="8"/>
    <n v="7"/>
    <n v="1"/>
    <x v="20"/>
    <s v="Monday"/>
    <x v="80"/>
    <n v="10"/>
  </r>
  <r>
    <s v="Jar Cakes"/>
    <x v="3"/>
    <x v="20"/>
    <n v="60"/>
    <n v="100"/>
    <n v="3"/>
    <n v="3"/>
    <n v="0"/>
    <x v="20"/>
    <s v="Monday"/>
    <x v="17"/>
    <n v="0"/>
  </r>
  <r>
    <s v="Paneer Sandwich"/>
    <x v="4"/>
    <x v="21"/>
    <n v="50"/>
    <n v="70"/>
    <n v="2"/>
    <n v="2"/>
    <n v="0"/>
    <x v="20"/>
    <s v="Monday"/>
    <x v="17"/>
    <n v="0"/>
  </r>
  <r>
    <s v="Hotdog"/>
    <x v="4"/>
    <x v="22"/>
    <n v="45"/>
    <n v="65"/>
    <n v="0"/>
    <n v="0"/>
    <n v="0"/>
    <x v="20"/>
    <s v="Monday"/>
    <x v="17"/>
    <n v="0"/>
  </r>
  <r>
    <s v="Paneer Roll"/>
    <x v="4"/>
    <x v="23"/>
    <n v="50"/>
    <n v="70"/>
    <n v="0"/>
    <n v="0"/>
    <n v="0"/>
    <x v="20"/>
    <s v="Monday"/>
    <x v="17"/>
    <n v="0"/>
  </r>
  <r>
    <s v="Aloo Patiz"/>
    <x v="4"/>
    <x v="24"/>
    <n v="10"/>
    <n v="15"/>
    <n v="6"/>
    <n v="0"/>
    <n v="6"/>
    <x v="20"/>
    <s v="Monday"/>
    <x v="38"/>
    <n v="30"/>
  </r>
  <r>
    <s v="Paneer Patiz"/>
    <x v="4"/>
    <x v="25"/>
    <n v="20"/>
    <n v="25"/>
    <n v="7"/>
    <n v="6"/>
    <n v="1"/>
    <x v="20"/>
    <s v="Monday"/>
    <x v="39"/>
    <n v="5"/>
  </r>
  <r>
    <s v="Pao"/>
    <x v="5"/>
    <x v="26"/>
    <n v="25"/>
    <n v="30"/>
    <n v="8"/>
    <n v="7"/>
    <n v="1"/>
    <x v="20"/>
    <s v="Monday"/>
    <x v="32"/>
    <n v="5"/>
  </r>
  <r>
    <s v="Burger Buns"/>
    <x v="5"/>
    <x v="27"/>
    <n v="25"/>
    <n v="30"/>
    <n v="6"/>
    <n v="3"/>
    <n v="3"/>
    <x v="20"/>
    <s v="Monday"/>
    <x v="38"/>
    <n v="15"/>
  </r>
  <r>
    <s v="Pizza Base"/>
    <x v="5"/>
    <x v="28"/>
    <n v="25"/>
    <n v="30"/>
    <n v="4"/>
    <n v="3"/>
    <n v="1"/>
    <x v="20"/>
    <s v="Monday"/>
    <x v="32"/>
    <n v="5"/>
  </r>
  <r>
    <s v="Brown Bread"/>
    <x v="5"/>
    <x v="29"/>
    <n v="30"/>
    <n v="35"/>
    <n v="5"/>
    <n v="3"/>
    <n v="2"/>
    <x v="20"/>
    <s v="Monday"/>
    <x v="20"/>
    <n v="10"/>
  </r>
  <r>
    <s v="Pineapple"/>
    <x v="0"/>
    <x v="0"/>
    <n v="100"/>
    <n v="200"/>
    <n v="3"/>
    <n v="2"/>
    <n v="1"/>
    <x v="21"/>
    <s v="Wednesday"/>
    <x v="19"/>
    <n v="100"/>
  </r>
  <r>
    <s v="Chocolate Truffle"/>
    <x v="0"/>
    <x v="1"/>
    <n v="200"/>
    <n v="300"/>
    <n v="3"/>
    <n v="1"/>
    <n v="2"/>
    <x v="21"/>
    <s v="Wednesday"/>
    <x v="3"/>
    <n v="200"/>
  </r>
  <r>
    <s v="Black Forest"/>
    <x v="0"/>
    <x v="2"/>
    <n v="150"/>
    <n v="250"/>
    <n v="3"/>
    <n v="1"/>
    <n v="2"/>
    <x v="21"/>
    <s v="Wednesday"/>
    <x v="12"/>
    <n v="200"/>
  </r>
  <r>
    <s v="Butter Scotch"/>
    <x v="0"/>
    <x v="3"/>
    <n v="100"/>
    <n v="200"/>
    <n v="3"/>
    <n v="2"/>
    <n v="1"/>
    <x v="21"/>
    <s v="Wednesday"/>
    <x v="19"/>
    <n v="100"/>
  </r>
  <r>
    <s v="Pineapple"/>
    <x v="1"/>
    <x v="4"/>
    <n v="250"/>
    <n v="350"/>
    <n v="2"/>
    <n v="1"/>
    <n v="1"/>
    <x v="21"/>
    <s v="Wednesday"/>
    <x v="7"/>
    <n v="100"/>
  </r>
  <r>
    <s v="Chocolate Truffle"/>
    <x v="1"/>
    <x v="5"/>
    <n v="300"/>
    <n v="400"/>
    <n v="1"/>
    <n v="1"/>
    <n v="0"/>
    <x v="21"/>
    <s v="Wednesday"/>
    <x v="17"/>
    <n v="0"/>
  </r>
  <r>
    <s v="Black Forest"/>
    <x v="1"/>
    <x v="6"/>
    <n v="250"/>
    <n v="350"/>
    <n v="2"/>
    <n v="2"/>
    <n v="0"/>
    <x v="21"/>
    <s v="Wednesday"/>
    <x v="17"/>
    <n v="0"/>
  </r>
  <r>
    <s v="Butter Scotch"/>
    <x v="1"/>
    <x v="7"/>
    <n v="250"/>
    <n v="350"/>
    <n v="2"/>
    <n v="1"/>
    <n v="1"/>
    <x v="21"/>
    <s v="Wednesday"/>
    <x v="7"/>
    <n v="100"/>
  </r>
  <r>
    <s v="Chocochip"/>
    <x v="1"/>
    <x v="8"/>
    <n v="300"/>
    <n v="450"/>
    <n v="1"/>
    <n v="1"/>
    <n v="0"/>
    <x v="21"/>
    <s v="Wednesday"/>
    <x v="17"/>
    <n v="0"/>
  </r>
  <r>
    <s v="Fruit Cake(400gram)"/>
    <x v="2"/>
    <x v="9"/>
    <n v="320"/>
    <n v="400"/>
    <n v="0"/>
    <n v="0"/>
    <n v="0"/>
    <x v="21"/>
    <s v="Wednesday"/>
    <x v="17"/>
    <n v="0"/>
  </r>
  <r>
    <s v="Fruit Cake(200gram)"/>
    <x v="2"/>
    <x v="10"/>
    <n v="100"/>
    <n v="150"/>
    <n v="3"/>
    <n v="3"/>
    <n v="0"/>
    <x v="21"/>
    <s v="Wednesday"/>
    <x v="17"/>
    <n v="0"/>
  </r>
  <r>
    <s v="Pineapple"/>
    <x v="3"/>
    <x v="11"/>
    <n v="25"/>
    <n v="40"/>
    <n v="13"/>
    <n v="13"/>
    <n v="0"/>
    <x v="21"/>
    <s v="Wednesday"/>
    <x v="17"/>
    <n v="0"/>
  </r>
  <r>
    <s v="Chocolate Truffle"/>
    <x v="3"/>
    <x v="12"/>
    <n v="30"/>
    <n v="50"/>
    <n v="15"/>
    <n v="12"/>
    <n v="3"/>
    <x v="21"/>
    <s v="Wednesday"/>
    <x v="22"/>
    <n v="60"/>
  </r>
  <r>
    <s v="Butter Scotch"/>
    <x v="3"/>
    <x v="13"/>
    <n v="25"/>
    <n v="40"/>
    <n v="14"/>
    <n v="14"/>
    <n v="0"/>
    <x v="21"/>
    <s v="Wednesday"/>
    <x v="17"/>
    <n v="0"/>
  </r>
  <r>
    <s v="Black Forest"/>
    <x v="3"/>
    <x v="14"/>
    <n v="25"/>
    <n v="40"/>
    <n v="10"/>
    <n v="10"/>
    <n v="0"/>
    <x v="21"/>
    <s v="Wednesday"/>
    <x v="17"/>
    <n v="0"/>
  </r>
  <r>
    <s v="Chocochip"/>
    <x v="3"/>
    <x v="15"/>
    <n v="30"/>
    <n v="55"/>
    <n v="4"/>
    <n v="3"/>
    <n v="1"/>
    <x v="21"/>
    <s v="Wednesday"/>
    <x v="30"/>
    <n v="25"/>
  </r>
  <r>
    <s v="Bonfire"/>
    <x v="3"/>
    <x v="16"/>
    <n v="40"/>
    <n v="65"/>
    <n v="22"/>
    <n v="22"/>
    <n v="0"/>
    <x v="21"/>
    <s v="Wednesday"/>
    <x v="17"/>
    <n v="0"/>
  </r>
  <r>
    <s v="Choco Lava"/>
    <x v="3"/>
    <x v="17"/>
    <n v="50"/>
    <n v="70"/>
    <n v="0"/>
    <n v="0"/>
    <n v="0"/>
    <x v="21"/>
    <s v="Wednesday"/>
    <x v="17"/>
    <n v="0"/>
  </r>
  <r>
    <s v="Cupcakes"/>
    <x v="3"/>
    <x v="18"/>
    <n v="20"/>
    <n v="30"/>
    <n v="11"/>
    <n v="11"/>
    <n v="0"/>
    <x v="21"/>
    <s v="Wednesday"/>
    <x v="17"/>
    <n v="0"/>
  </r>
  <r>
    <s v="Muffins"/>
    <x v="3"/>
    <x v="19"/>
    <n v="10"/>
    <n v="20"/>
    <n v="7"/>
    <n v="7"/>
    <n v="0"/>
    <x v="21"/>
    <s v="Wednesday"/>
    <x v="17"/>
    <n v="0"/>
  </r>
  <r>
    <s v="Jar Cakes"/>
    <x v="3"/>
    <x v="20"/>
    <n v="60"/>
    <n v="100"/>
    <n v="3"/>
    <n v="3"/>
    <n v="0"/>
    <x v="21"/>
    <s v="Wednesday"/>
    <x v="17"/>
    <n v="0"/>
  </r>
  <r>
    <s v="Paneer Sandwich"/>
    <x v="4"/>
    <x v="21"/>
    <n v="50"/>
    <n v="70"/>
    <n v="4"/>
    <n v="4"/>
    <n v="0"/>
    <x v="21"/>
    <s v="Wednesday"/>
    <x v="17"/>
    <n v="0"/>
  </r>
  <r>
    <s v="Hotdog"/>
    <x v="4"/>
    <x v="22"/>
    <n v="45"/>
    <n v="65"/>
    <n v="0"/>
    <n v="0"/>
    <n v="0"/>
    <x v="21"/>
    <s v="Wednesday"/>
    <x v="17"/>
    <n v="0"/>
  </r>
  <r>
    <s v="Paneer Roll"/>
    <x v="4"/>
    <x v="23"/>
    <n v="50"/>
    <n v="70"/>
    <n v="0"/>
    <n v="0"/>
    <n v="0"/>
    <x v="21"/>
    <s v="Wednesday"/>
    <x v="17"/>
    <n v="0"/>
  </r>
  <r>
    <s v="Aloo Patiz"/>
    <x v="4"/>
    <x v="24"/>
    <n v="10"/>
    <n v="15"/>
    <n v="9"/>
    <n v="4"/>
    <n v="5"/>
    <x v="21"/>
    <s v="Wednesday"/>
    <x v="49"/>
    <n v="25"/>
  </r>
  <r>
    <s v="Paneer Patiz"/>
    <x v="4"/>
    <x v="25"/>
    <n v="20"/>
    <n v="25"/>
    <n v="11"/>
    <n v="11"/>
    <n v="0"/>
    <x v="21"/>
    <s v="Wednesday"/>
    <x v="17"/>
    <n v="0"/>
  </r>
  <r>
    <s v="Pao"/>
    <x v="5"/>
    <x v="26"/>
    <n v="25"/>
    <n v="30"/>
    <n v="17"/>
    <n v="10"/>
    <n v="7"/>
    <x v="21"/>
    <s v="Wednesday"/>
    <x v="24"/>
    <n v="35"/>
  </r>
  <r>
    <s v="Burger Buns"/>
    <x v="5"/>
    <x v="27"/>
    <n v="25"/>
    <n v="30"/>
    <n v="3"/>
    <n v="1"/>
    <n v="2"/>
    <x v="21"/>
    <s v="Wednesday"/>
    <x v="42"/>
    <n v="10"/>
  </r>
  <r>
    <s v="Pizza Base"/>
    <x v="5"/>
    <x v="28"/>
    <n v="25"/>
    <n v="30"/>
    <n v="8"/>
    <n v="1"/>
    <n v="7"/>
    <x v="21"/>
    <s v="Wednesday"/>
    <x v="24"/>
    <n v="35"/>
  </r>
  <r>
    <s v="Brown Bread"/>
    <x v="5"/>
    <x v="29"/>
    <n v="30"/>
    <n v="35"/>
    <n v="13"/>
    <n v="10"/>
    <n v="3"/>
    <x v="21"/>
    <s v="Wednesday"/>
    <x v="45"/>
    <n v="15"/>
  </r>
  <r>
    <s v="Pineapple"/>
    <x v="0"/>
    <x v="0"/>
    <n v="100"/>
    <n v="200"/>
    <n v="3"/>
    <n v="3"/>
    <n v="0"/>
    <x v="22"/>
    <s v="Thursday"/>
    <x v="17"/>
    <n v="0"/>
  </r>
  <r>
    <s v="Chocolate Truffle"/>
    <x v="0"/>
    <x v="1"/>
    <n v="200"/>
    <n v="300"/>
    <n v="3"/>
    <n v="3"/>
    <n v="0"/>
    <x v="22"/>
    <s v="Thursday"/>
    <x v="17"/>
    <n v="0"/>
  </r>
  <r>
    <s v="Black Forest"/>
    <x v="0"/>
    <x v="2"/>
    <n v="150"/>
    <n v="250"/>
    <n v="3"/>
    <n v="2"/>
    <n v="1"/>
    <x v="22"/>
    <s v="Thursday"/>
    <x v="26"/>
    <n v="100"/>
  </r>
  <r>
    <s v="Butter Scotch"/>
    <x v="0"/>
    <x v="3"/>
    <n v="100"/>
    <n v="200"/>
    <n v="2"/>
    <n v="0"/>
    <n v="2"/>
    <x v="22"/>
    <s v="Thursday"/>
    <x v="0"/>
    <n v="200"/>
  </r>
  <r>
    <s v="Pineapple"/>
    <x v="1"/>
    <x v="4"/>
    <n v="250"/>
    <n v="350"/>
    <n v="3"/>
    <n v="3"/>
    <n v="0"/>
    <x v="22"/>
    <s v="Thursday"/>
    <x v="17"/>
    <n v="0"/>
  </r>
  <r>
    <s v="Chocolate Truffle"/>
    <x v="1"/>
    <x v="5"/>
    <n v="300"/>
    <n v="400"/>
    <n v="1"/>
    <n v="0"/>
    <n v="1"/>
    <x v="22"/>
    <s v="Thursday"/>
    <x v="0"/>
    <n v="100"/>
  </r>
  <r>
    <s v="Black Forest"/>
    <x v="1"/>
    <x v="6"/>
    <n v="250"/>
    <n v="350"/>
    <n v="3"/>
    <n v="2"/>
    <n v="1"/>
    <x v="22"/>
    <s v="Thursday"/>
    <x v="7"/>
    <n v="100"/>
  </r>
  <r>
    <s v="Butter Scotch"/>
    <x v="1"/>
    <x v="7"/>
    <n v="250"/>
    <n v="350"/>
    <n v="2"/>
    <n v="2"/>
    <n v="0"/>
    <x v="22"/>
    <s v="Thursday"/>
    <x v="17"/>
    <n v="0"/>
  </r>
  <r>
    <s v="Chocochip"/>
    <x v="1"/>
    <x v="8"/>
    <n v="300"/>
    <n v="450"/>
    <n v="1"/>
    <n v="1"/>
    <n v="0"/>
    <x v="22"/>
    <s v="Thursday"/>
    <x v="17"/>
    <n v="0"/>
  </r>
  <r>
    <s v="Fruit Cake(400gram)"/>
    <x v="2"/>
    <x v="9"/>
    <n v="320"/>
    <n v="400"/>
    <n v="0"/>
    <n v="0"/>
    <n v="0"/>
    <x v="22"/>
    <s v="Thursday"/>
    <x v="17"/>
    <n v="0"/>
  </r>
  <r>
    <s v="Fruit Cake(200gram)"/>
    <x v="2"/>
    <x v="10"/>
    <n v="100"/>
    <n v="150"/>
    <n v="3"/>
    <n v="3"/>
    <n v="0"/>
    <x v="22"/>
    <s v="Thursday"/>
    <x v="17"/>
    <n v="0"/>
  </r>
  <r>
    <s v="Pineapple"/>
    <x v="3"/>
    <x v="11"/>
    <n v="25"/>
    <n v="40"/>
    <n v="13"/>
    <n v="6"/>
    <n v="7"/>
    <x v="22"/>
    <s v="Thursday"/>
    <x v="29"/>
    <n v="105"/>
  </r>
  <r>
    <s v="Chocolate Truffle"/>
    <x v="3"/>
    <x v="12"/>
    <n v="30"/>
    <n v="50"/>
    <n v="12"/>
    <n v="11"/>
    <n v="1"/>
    <x v="22"/>
    <s v="Thursday"/>
    <x v="41"/>
    <n v="20"/>
  </r>
  <r>
    <s v="Butter Scotch"/>
    <x v="3"/>
    <x v="13"/>
    <n v="25"/>
    <n v="40"/>
    <n v="14"/>
    <n v="13"/>
    <n v="1"/>
    <x v="22"/>
    <s v="Thursday"/>
    <x v="35"/>
    <n v="15"/>
  </r>
  <r>
    <s v="Black Forest"/>
    <x v="3"/>
    <x v="14"/>
    <n v="25"/>
    <n v="40"/>
    <n v="10"/>
    <n v="1"/>
    <n v="9"/>
    <x v="22"/>
    <s v="Thursday"/>
    <x v="23"/>
    <n v="135"/>
  </r>
  <r>
    <s v="Chocochip"/>
    <x v="3"/>
    <x v="15"/>
    <n v="30"/>
    <n v="55"/>
    <n v="3"/>
    <n v="1"/>
    <n v="2"/>
    <x v="22"/>
    <s v="Thursday"/>
    <x v="55"/>
    <n v="50"/>
  </r>
  <r>
    <s v="Bonfire"/>
    <x v="3"/>
    <x v="16"/>
    <n v="40"/>
    <n v="65"/>
    <n v="22"/>
    <n v="11"/>
    <n v="11"/>
    <x v="22"/>
    <s v="Thursday"/>
    <x v="67"/>
    <n v="275"/>
  </r>
  <r>
    <s v="Choco Lava"/>
    <x v="3"/>
    <x v="17"/>
    <n v="50"/>
    <n v="70"/>
    <n v="0"/>
    <n v="0"/>
    <n v="0"/>
    <x v="22"/>
    <s v="Thursday"/>
    <x v="17"/>
    <n v="0"/>
  </r>
  <r>
    <s v="Cupcakes"/>
    <x v="3"/>
    <x v="18"/>
    <n v="20"/>
    <n v="30"/>
    <n v="11"/>
    <n v="11"/>
    <n v="0"/>
    <x v="22"/>
    <s v="Thursday"/>
    <x v="17"/>
    <n v="0"/>
  </r>
  <r>
    <s v="Muffins"/>
    <x v="3"/>
    <x v="19"/>
    <n v="10"/>
    <n v="20"/>
    <n v="7"/>
    <n v="7"/>
    <n v="0"/>
    <x v="22"/>
    <s v="Thursday"/>
    <x v="17"/>
    <n v="0"/>
  </r>
  <r>
    <s v="Jar Cakes"/>
    <x v="3"/>
    <x v="20"/>
    <n v="60"/>
    <n v="100"/>
    <n v="3"/>
    <n v="3"/>
    <n v="0"/>
    <x v="22"/>
    <s v="Thursday"/>
    <x v="17"/>
    <n v="0"/>
  </r>
  <r>
    <s v="Paneer Sandwich"/>
    <x v="4"/>
    <x v="21"/>
    <n v="50"/>
    <n v="70"/>
    <n v="4"/>
    <n v="3"/>
    <n v="1"/>
    <x v="22"/>
    <s v="Thursday"/>
    <x v="20"/>
    <n v="20"/>
  </r>
  <r>
    <s v="Hotdog"/>
    <x v="4"/>
    <x v="22"/>
    <n v="45"/>
    <n v="65"/>
    <n v="0"/>
    <n v="0"/>
    <n v="0"/>
    <x v="22"/>
    <s v="Thursday"/>
    <x v="17"/>
    <n v="0"/>
  </r>
  <r>
    <s v="Paneer Roll"/>
    <x v="4"/>
    <x v="23"/>
    <n v="50"/>
    <n v="70"/>
    <n v="0"/>
    <n v="0"/>
    <n v="0"/>
    <x v="22"/>
    <s v="Thursday"/>
    <x v="17"/>
    <n v="0"/>
  </r>
  <r>
    <s v="Aloo Patiz"/>
    <x v="4"/>
    <x v="24"/>
    <n v="10"/>
    <n v="15"/>
    <n v="4"/>
    <n v="1"/>
    <n v="3"/>
    <x v="22"/>
    <s v="Thursday"/>
    <x v="61"/>
    <n v="15"/>
  </r>
  <r>
    <s v="Paneer Patiz"/>
    <x v="4"/>
    <x v="25"/>
    <n v="20"/>
    <n v="25"/>
    <n v="11"/>
    <n v="5"/>
    <n v="6"/>
    <x v="22"/>
    <s v="Thursday"/>
    <x v="22"/>
    <n v="30"/>
  </r>
  <r>
    <s v="Pao"/>
    <x v="5"/>
    <x v="26"/>
    <n v="25"/>
    <n v="30"/>
    <n v="10"/>
    <n v="8"/>
    <n v="2"/>
    <x v="22"/>
    <s v="Thursday"/>
    <x v="42"/>
    <n v="10"/>
  </r>
  <r>
    <s v="Burger Buns"/>
    <x v="5"/>
    <x v="27"/>
    <n v="25"/>
    <n v="30"/>
    <n v="6"/>
    <n v="6"/>
    <n v="0"/>
    <x v="22"/>
    <s v="Thursday"/>
    <x v="17"/>
    <n v="0"/>
  </r>
  <r>
    <s v="Pizza Base"/>
    <x v="5"/>
    <x v="28"/>
    <n v="25"/>
    <n v="30"/>
    <n v="6"/>
    <n v="5"/>
    <n v="1"/>
    <x v="22"/>
    <s v="Thursday"/>
    <x v="32"/>
    <n v="5"/>
  </r>
  <r>
    <s v="Brown Bread"/>
    <x v="5"/>
    <x v="29"/>
    <n v="30"/>
    <n v="35"/>
    <n v="10"/>
    <n v="5"/>
    <n v="5"/>
    <x v="22"/>
    <s v="Thursday"/>
    <x v="64"/>
    <n v="25"/>
  </r>
  <r>
    <s v="Pineapple"/>
    <x v="0"/>
    <x v="0"/>
    <n v="100"/>
    <n v="200"/>
    <n v="4"/>
    <n v="1"/>
    <n v="3"/>
    <x v="23"/>
    <s v="Friday"/>
    <x v="3"/>
    <n v="300"/>
  </r>
  <r>
    <s v="Chocolate Truffle"/>
    <x v="0"/>
    <x v="1"/>
    <n v="200"/>
    <n v="300"/>
    <n v="4"/>
    <n v="4"/>
    <n v="0"/>
    <x v="23"/>
    <s v="Friday"/>
    <x v="17"/>
    <n v="0"/>
  </r>
  <r>
    <s v="Black Forest"/>
    <x v="0"/>
    <x v="2"/>
    <n v="150"/>
    <n v="250"/>
    <n v="3"/>
    <n v="3"/>
    <n v="0"/>
    <x v="23"/>
    <s v="Friday"/>
    <x v="17"/>
    <n v="0"/>
  </r>
  <r>
    <s v="Butter Scotch"/>
    <x v="0"/>
    <x v="3"/>
    <n v="100"/>
    <n v="200"/>
    <n v="3"/>
    <n v="3"/>
    <n v="0"/>
    <x v="23"/>
    <s v="Friday"/>
    <x v="17"/>
    <n v="0"/>
  </r>
  <r>
    <s v="Pineapple"/>
    <x v="1"/>
    <x v="4"/>
    <n v="250"/>
    <n v="350"/>
    <n v="3"/>
    <n v="1"/>
    <n v="2"/>
    <x v="23"/>
    <s v="Friday"/>
    <x v="4"/>
    <n v="200"/>
  </r>
  <r>
    <s v="Chocolate Truffle"/>
    <x v="1"/>
    <x v="5"/>
    <n v="300"/>
    <n v="400"/>
    <n v="0"/>
    <n v="0"/>
    <n v="0"/>
    <x v="23"/>
    <s v="Friday"/>
    <x v="17"/>
    <n v="0"/>
  </r>
  <r>
    <s v="Black Forest"/>
    <x v="1"/>
    <x v="6"/>
    <n v="250"/>
    <n v="350"/>
    <n v="2"/>
    <n v="2"/>
    <n v="0"/>
    <x v="23"/>
    <s v="Friday"/>
    <x v="17"/>
    <n v="0"/>
  </r>
  <r>
    <s v="Butter Scotch"/>
    <x v="1"/>
    <x v="7"/>
    <n v="250"/>
    <n v="350"/>
    <n v="2"/>
    <n v="2"/>
    <n v="0"/>
    <x v="23"/>
    <s v="Friday"/>
    <x v="17"/>
    <n v="0"/>
  </r>
  <r>
    <s v="Chocochip"/>
    <x v="1"/>
    <x v="8"/>
    <n v="300"/>
    <n v="450"/>
    <n v="1"/>
    <n v="1"/>
    <n v="0"/>
    <x v="23"/>
    <s v="Friday"/>
    <x v="17"/>
    <n v="0"/>
  </r>
  <r>
    <s v="Fruit Cake(400gram)"/>
    <x v="2"/>
    <x v="9"/>
    <n v="320"/>
    <n v="400"/>
    <n v="0"/>
    <n v="0"/>
    <n v="0"/>
    <x v="23"/>
    <s v="Friday"/>
    <x v="17"/>
    <n v="0"/>
  </r>
  <r>
    <s v="Fruit Cake(200gram)"/>
    <x v="2"/>
    <x v="10"/>
    <n v="100"/>
    <n v="150"/>
    <n v="3"/>
    <n v="3"/>
    <n v="0"/>
    <x v="23"/>
    <s v="Friday"/>
    <x v="17"/>
    <n v="0"/>
  </r>
  <r>
    <s v="Pineapple"/>
    <x v="3"/>
    <x v="11"/>
    <n v="25"/>
    <n v="40"/>
    <n v="6"/>
    <n v="5"/>
    <n v="1"/>
    <x v="23"/>
    <s v="Friday"/>
    <x v="35"/>
    <n v="15"/>
  </r>
  <r>
    <s v="Chocolate Truffle"/>
    <x v="3"/>
    <x v="12"/>
    <n v="30"/>
    <n v="50"/>
    <n v="11"/>
    <n v="10"/>
    <n v="1"/>
    <x v="23"/>
    <s v="Friday"/>
    <x v="41"/>
    <n v="20"/>
  </r>
  <r>
    <s v="Butter Scotch"/>
    <x v="3"/>
    <x v="13"/>
    <n v="25"/>
    <n v="40"/>
    <n v="13"/>
    <n v="9"/>
    <n v="4"/>
    <x v="23"/>
    <s v="Friday"/>
    <x v="63"/>
    <n v="60"/>
  </r>
  <r>
    <s v="Black Forest"/>
    <x v="3"/>
    <x v="14"/>
    <n v="25"/>
    <n v="40"/>
    <n v="1"/>
    <n v="0"/>
    <n v="1"/>
    <x v="23"/>
    <s v="Friday"/>
    <x v="35"/>
    <n v="15"/>
  </r>
  <r>
    <s v="Chocochip"/>
    <x v="3"/>
    <x v="15"/>
    <n v="30"/>
    <n v="55"/>
    <n v="1"/>
    <n v="1"/>
    <n v="0"/>
    <x v="23"/>
    <s v="Friday"/>
    <x v="17"/>
    <n v="0"/>
  </r>
  <r>
    <s v="Bonfire"/>
    <x v="3"/>
    <x v="16"/>
    <n v="40"/>
    <n v="65"/>
    <n v="21"/>
    <n v="19"/>
    <n v="2"/>
    <x v="23"/>
    <s v="Friday"/>
    <x v="37"/>
    <n v="50"/>
  </r>
  <r>
    <s v="Choco Lava"/>
    <x v="3"/>
    <x v="17"/>
    <n v="50"/>
    <n v="70"/>
    <n v="0"/>
    <n v="0"/>
    <n v="0"/>
    <x v="23"/>
    <s v="Friday"/>
    <x v="17"/>
    <n v="0"/>
  </r>
  <r>
    <s v="Cupcakes"/>
    <x v="3"/>
    <x v="18"/>
    <n v="20"/>
    <n v="30"/>
    <n v="11"/>
    <n v="11"/>
    <n v="0"/>
    <x v="23"/>
    <s v="Friday"/>
    <x v="17"/>
    <n v="0"/>
  </r>
  <r>
    <s v="Muffins"/>
    <x v="3"/>
    <x v="19"/>
    <n v="10"/>
    <n v="20"/>
    <n v="7"/>
    <n v="7"/>
    <n v="0"/>
    <x v="23"/>
    <s v="Friday"/>
    <x v="17"/>
    <n v="0"/>
  </r>
  <r>
    <s v="Jar Cakes"/>
    <x v="3"/>
    <x v="20"/>
    <n v="60"/>
    <n v="100"/>
    <n v="3"/>
    <n v="3"/>
    <n v="0"/>
    <x v="23"/>
    <s v="Friday"/>
    <x v="17"/>
    <n v="0"/>
  </r>
  <r>
    <s v="Paneer Sandwich"/>
    <x v="4"/>
    <x v="21"/>
    <n v="50"/>
    <n v="70"/>
    <n v="3"/>
    <n v="3"/>
    <n v="0"/>
    <x v="23"/>
    <s v="Friday"/>
    <x v="17"/>
    <n v="0"/>
  </r>
  <r>
    <s v="Hotdog"/>
    <x v="4"/>
    <x v="22"/>
    <n v="45"/>
    <n v="65"/>
    <n v="0"/>
    <n v="0"/>
    <n v="0"/>
    <x v="23"/>
    <s v="Friday"/>
    <x v="17"/>
    <n v="0"/>
  </r>
  <r>
    <s v="Paneer Roll"/>
    <x v="4"/>
    <x v="23"/>
    <n v="50"/>
    <n v="70"/>
    <n v="0"/>
    <n v="0"/>
    <n v="0"/>
    <x v="23"/>
    <s v="Friday"/>
    <x v="17"/>
    <n v="0"/>
  </r>
  <r>
    <s v="Aloo Patiz"/>
    <x v="4"/>
    <x v="24"/>
    <n v="10"/>
    <n v="15"/>
    <n v="11"/>
    <n v="0"/>
    <n v="11"/>
    <x v="23"/>
    <s v="Friday"/>
    <x v="40"/>
    <n v="55"/>
  </r>
  <r>
    <s v="Paneer Patiz"/>
    <x v="4"/>
    <x v="25"/>
    <n v="20"/>
    <n v="25"/>
    <n v="10"/>
    <n v="8"/>
    <n v="2"/>
    <x v="23"/>
    <s v="Friday"/>
    <x v="41"/>
    <n v="10"/>
  </r>
  <r>
    <s v="Pao"/>
    <x v="5"/>
    <x v="26"/>
    <n v="25"/>
    <n v="30"/>
    <n v="8"/>
    <n v="12"/>
    <n v="-4"/>
    <x v="23"/>
    <s v="Friday"/>
    <x v="81"/>
    <n v="-20"/>
  </r>
  <r>
    <s v="Burger Buns"/>
    <x v="5"/>
    <x v="27"/>
    <n v="25"/>
    <n v="30"/>
    <n v="6"/>
    <n v="2"/>
    <n v="4"/>
    <x v="23"/>
    <s v="Friday"/>
    <x v="28"/>
    <n v="20"/>
  </r>
  <r>
    <s v="Pizza Base"/>
    <x v="5"/>
    <x v="28"/>
    <n v="25"/>
    <n v="30"/>
    <n v="5"/>
    <n v="5"/>
    <n v="0"/>
    <x v="23"/>
    <s v="Friday"/>
    <x v="17"/>
    <n v="0"/>
  </r>
  <r>
    <s v="Brown Bread"/>
    <x v="5"/>
    <x v="29"/>
    <n v="30"/>
    <n v="35"/>
    <n v="15"/>
    <n v="11"/>
    <n v="4"/>
    <x v="23"/>
    <s v="Friday"/>
    <x v="25"/>
    <n v="20"/>
  </r>
  <r>
    <s v="Pineapple"/>
    <x v="0"/>
    <x v="0"/>
    <n v="100"/>
    <n v="200"/>
    <n v="2"/>
    <n v="2"/>
    <n v="0"/>
    <x v="24"/>
    <s v="Saturday"/>
    <x v="17"/>
    <n v="0"/>
  </r>
  <r>
    <s v="Chocolate Truffle"/>
    <x v="0"/>
    <x v="1"/>
    <n v="200"/>
    <n v="300"/>
    <n v="4"/>
    <n v="2"/>
    <n v="2"/>
    <x v="24"/>
    <s v="Saturday"/>
    <x v="3"/>
    <n v="200"/>
  </r>
  <r>
    <s v="Black Forest"/>
    <x v="0"/>
    <x v="2"/>
    <n v="150"/>
    <n v="250"/>
    <n v="3"/>
    <n v="3"/>
    <n v="0"/>
    <x v="24"/>
    <s v="Saturday"/>
    <x v="17"/>
    <n v="0"/>
  </r>
  <r>
    <s v="Butter Scotch"/>
    <x v="0"/>
    <x v="3"/>
    <n v="100"/>
    <n v="200"/>
    <n v="3"/>
    <n v="1"/>
    <n v="2"/>
    <x v="24"/>
    <s v="Saturday"/>
    <x v="0"/>
    <n v="200"/>
  </r>
  <r>
    <s v="Pineapple"/>
    <x v="1"/>
    <x v="4"/>
    <n v="250"/>
    <n v="350"/>
    <n v="1"/>
    <n v="0"/>
    <n v="1"/>
    <x v="24"/>
    <s v="Saturday"/>
    <x v="7"/>
    <n v="100"/>
  </r>
  <r>
    <s v="Chocolate Truffle"/>
    <x v="1"/>
    <x v="5"/>
    <n v="300"/>
    <n v="400"/>
    <n v="0"/>
    <n v="0"/>
    <n v="0"/>
    <x v="24"/>
    <s v="Saturday"/>
    <x v="17"/>
    <n v="0"/>
  </r>
  <r>
    <s v="Black Forest"/>
    <x v="1"/>
    <x v="6"/>
    <n v="250"/>
    <n v="350"/>
    <n v="2"/>
    <n v="1"/>
    <n v="1"/>
    <x v="24"/>
    <s v="Saturday"/>
    <x v="7"/>
    <n v="100"/>
  </r>
  <r>
    <s v="Butter Scotch"/>
    <x v="1"/>
    <x v="7"/>
    <n v="250"/>
    <n v="350"/>
    <n v="2"/>
    <n v="1"/>
    <n v="1"/>
    <x v="24"/>
    <s v="Saturday"/>
    <x v="7"/>
    <n v="100"/>
  </r>
  <r>
    <s v="Chocochip"/>
    <x v="1"/>
    <x v="8"/>
    <n v="300"/>
    <n v="450"/>
    <n v="1"/>
    <n v="1"/>
    <n v="0"/>
    <x v="24"/>
    <s v="Saturday"/>
    <x v="17"/>
    <n v="0"/>
  </r>
  <r>
    <s v="Fruit Cake(400gram)"/>
    <x v="2"/>
    <x v="9"/>
    <n v="320"/>
    <n v="400"/>
    <n v="0"/>
    <n v="0"/>
    <n v="0"/>
    <x v="24"/>
    <s v="Saturday"/>
    <x v="17"/>
    <n v="0"/>
  </r>
  <r>
    <s v="Fruit Cake(200gram)"/>
    <x v="2"/>
    <x v="10"/>
    <n v="100"/>
    <n v="150"/>
    <n v="3"/>
    <n v="3"/>
    <n v="0"/>
    <x v="24"/>
    <s v="Saturday"/>
    <x v="17"/>
    <n v="0"/>
  </r>
  <r>
    <s v="Pineapple"/>
    <x v="3"/>
    <x v="11"/>
    <n v="25"/>
    <n v="40"/>
    <n v="15"/>
    <n v="11"/>
    <n v="4"/>
    <x v="24"/>
    <s v="Saturday"/>
    <x v="63"/>
    <n v="60"/>
  </r>
  <r>
    <s v="Chocolate Truffle"/>
    <x v="3"/>
    <x v="12"/>
    <n v="30"/>
    <n v="50"/>
    <n v="10"/>
    <n v="2"/>
    <n v="8"/>
    <x v="24"/>
    <s v="Saturday"/>
    <x v="0"/>
    <n v="160"/>
  </r>
  <r>
    <s v="Butter Scotch"/>
    <x v="3"/>
    <x v="13"/>
    <n v="25"/>
    <n v="40"/>
    <n v="9"/>
    <n v="6"/>
    <n v="3"/>
    <x v="24"/>
    <s v="Saturday"/>
    <x v="28"/>
    <n v="45"/>
  </r>
  <r>
    <s v="Black Forest"/>
    <x v="3"/>
    <x v="14"/>
    <n v="25"/>
    <n v="40"/>
    <n v="10"/>
    <n v="10"/>
    <n v="0"/>
    <x v="24"/>
    <s v="Saturday"/>
    <x v="17"/>
    <n v="0"/>
  </r>
  <r>
    <s v="Chocochip"/>
    <x v="3"/>
    <x v="15"/>
    <n v="30"/>
    <n v="55"/>
    <n v="1"/>
    <n v="0"/>
    <n v="1"/>
    <x v="24"/>
    <s v="Saturday"/>
    <x v="30"/>
    <n v="25"/>
  </r>
  <r>
    <s v="Bonfire"/>
    <x v="3"/>
    <x v="16"/>
    <n v="40"/>
    <n v="65"/>
    <n v="19"/>
    <n v="6"/>
    <n v="13"/>
    <x v="24"/>
    <s v="Saturday"/>
    <x v="74"/>
    <n v="325"/>
  </r>
  <r>
    <s v="Choco Lava"/>
    <x v="3"/>
    <x v="17"/>
    <n v="50"/>
    <n v="70"/>
    <n v="0"/>
    <n v="0"/>
    <n v="0"/>
    <x v="24"/>
    <s v="Saturday"/>
    <x v="17"/>
    <n v="0"/>
  </r>
  <r>
    <s v="Cupcakes"/>
    <x v="3"/>
    <x v="18"/>
    <n v="20"/>
    <n v="30"/>
    <n v="11"/>
    <n v="10"/>
    <n v="1"/>
    <x v="24"/>
    <s v="Saturday"/>
    <x v="32"/>
    <n v="10"/>
  </r>
  <r>
    <s v="Muffins"/>
    <x v="3"/>
    <x v="19"/>
    <n v="10"/>
    <n v="20"/>
    <n v="7"/>
    <n v="4"/>
    <n v="3"/>
    <x v="24"/>
    <s v="Saturday"/>
    <x v="42"/>
    <n v="30"/>
  </r>
  <r>
    <s v="Jar Cakes"/>
    <x v="3"/>
    <x v="20"/>
    <n v="60"/>
    <n v="100"/>
    <n v="3"/>
    <n v="2"/>
    <n v="1"/>
    <x v="24"/>
    <s v="Saturday"/>
    <x v="33"/>
    <n v="40"/>
  </r>
  <r>
    <s v="Paneer Sandwich"/>
    <x v="4"/>
    <x v="21"/>
    <n v="50"/>
    <n v="70"/>
    <n v="3"/>
    <n v="0"/>
    <n v="3"/>
    <x v="24"/>
    <s v="Saturday"/>
    <x v="24"/>
    <n v="60"/>
  </r>
  <r>
    <s v="Hotdog"/>
    <x v="4"/>
    <x v="22"/>
    <n v="45"/>
    <n v="65"/>
    <n v="0"/>
    <n v="0"/>
    <n v="0"/>
    <x v="24"/>
    <s v="Saturday"/>
    <x v="17"/>
    <n v="0"/>
  </r>
  <r>
    <s v="Paneer Roll"/>
    <x v="4"/>
    <x v="23"/>
    <n v="50"/>
    <n v="70"/>
    <n v="0"/>
    <n v="0"/>
    <n v="0"/>
    <x v="24"/>
    <s v="Saturday"/>
    <x v="17"/>
    <n v="0"/>
  </r>
  <r>
    <s v="Aloo Patiz"/>
    <x v="4"/>
    <x v="24"/>
    <n v="10"/>
    <n v="15"/>
    <n v="10"/>
    <n v="7"/>
    <n v="3"/>
    <x v="24"/>
    <s v="Saturday"/>
    <x v="61"/>
    <n v="15"/>
  </r>
  <r>
    <s v="Paneer Patiz"/>
    <x v="4"/>
    <x v="25"/>
    <n v="20"/>
    <n v="25"/>
    <n v="8"/>
    <n v="3"/>
    <n v="5"/>
    <x v="24"/>
    <s v="Saturday"/>
    <x v="79"/>
    <n v="25"/>
  </r>
  <r>
    <s v="Pao"/>
    <x v="5"/>
    <x v="26"/>
    <n v="25"/>
    <n v="30"/>
    <n v="12"/>
    <n v="10"/>
    <n v="2"/>
    <x v="24"/>
    <s v="Saturday"/>
    <x v="42"/>
    <n v="10"/>
  </r>
  <r>
    <s v="Burger Buns"/>
    <x v="5"/>
    <x v="27"/>
    <n v="25"/>
    <n v="30"/>
    <n v="2"/>
    <n v="2"/>
    <n v="0"/>
    <x v="24"/>
    <s v="Saturday"/>
    <x v="17"/>
    <n v="0"/>
  </r>
  <r>
    <s v="Pizza Base"/>
    <x v="5"/>
    <x v="28"/>
    <n v="25"/>
    <n v="30"/>
    <n v="5"/>
    <n v="5"/>
    <n v="0"/>
    <x v="24"/>
    <s v="Saturday"/>
    <x v="17"/>
    <n v="0"/>
  </r>
  <r>
    <s v="Brown Bread"/>
    <x v="5"/>
    <x v="29"/>
    <n v="30"/>
    <n v="35"/>
    <n v="20"/>
    <n v="10"/>
    <n v="10"/>
    <x v="24"/>
    <s v="Saturday"/>
    <x v="7"/>
    <n v="50"/>
  </r>
  <r>
    <s v="Pineapple"/>
    <x v="0"/>
    <x v="0"/>
    <n v="100"/>
    <n v="200"/>
    <n v="2"/>
    <n v="0"/>
    <n v="2"/>
    <x v="25"/>
    <s v="Sunday"/>
    <x v="0"/>
    <n v="200"/>
  </r>
  <r>
    <s v="Chocolate Truffle"/>
    <x v="0"/>
    <x v="1"/>
    <n v="200"/>
    <n v="300"/>
    <n v="2"/>
    <n v="2"/>
    <n v="0"/>
    <x v="25"/>
    <s v="Sunday"/>
    <x v="17"/>
    <n v="0"/>
  </r>
  <r>
    <s v="Black Forest"/>
    <x v="0"/>
    <x v="2"/>
    <n v="150"/>
    <n v="250"/>
    <n v="3"/>
    <n v="2"/>
    <n v="1"/>
    <x v="25"/>
    <s v="Sunday"/>
    <x v="26"/>
    <n v="100"/>
  </r>
  <r>
    <s v="Butter Scotch"/>
    <x v="0"/>
    <x v="3"/>
    <n v="100"/>
    <n v="200"/>
    <n v="1"/>
    <n v="1"/>
    <n v="0"/>
    <x v="25"/>
    <s v="Sunday"/>
    <x v="17"/>
    <n v="0"/>
  </r>
  <r>
    <s v="Pineapple"/>
    <x v="1"/>
    <x v="4"/>
    <n v="250"/>
    <n v="350"/>
    <n v="2"/>
    <n v="1"/>
    <n v="1"/>
    <x v="25"/>
    <s v="Sunday"/>
    <x v="7"/>
    <n v="100"/>
  </r>
  <r>
    <s v="Chocolate Truffle"/>
    <x v="1"/>
    <x v="5"/>
    <n v="300"/>
    <n v="400"/>
    <n v="1"/>
    <n v="1"/>
    <n v="0"/>
    <x v="25"/>
    <s v="Sunday"/>
    <x v="17"/>
    <n v="0"/>
  </r>
  <r>
    <s v="Black Forest"/>
    <x v="1"/>
    <x v="6"/>
    <n v="250"/>
    <n v="350"/>
    <n v="2"/>
    <n v="1"/>
    <n v="1"/>
    <x v="25"/>
    <s v="Sunday"/>
    <x v="7"/>
    <n v="100"/>
  </r>
  <r>
    <s v="Butter Scotch"/>
    <x v="1"/>
    <x v="7"/>
    <n v="250"/>
    <n v="350"/>
    <n v="1"/>
    <n v="1"/>
    <n v="0"/>
    <x v="25"/>
    <s v="Sunday"/>
    <x v="17"/>
    <n v="0"/>
  </r>
  <r>
    <s v="Chocochip"/>
    <x v="1"/>
    <x v="8"/>
    <n v="300"/>
    <n v="450"/>
    <n v="1"/>
    <n v="0"/>
    <n v="1"/>
    <x v="25"/>
    <s v="Sunday"/>
    <x v="8"/>
    <n v="150"/>
  </r>
  <r>
    <s v="Fruit Cake(400gram)"/>
    <x v="2"/>
    <x v="9"/>
    <n v="320"/>
    <n v="400"/>
    <n v="0"/>
    <n v="0"/>
    <n v="0"/>
    <x v="25"/>
    <s v="Sunday"/>
    <x v="17"/>
    <n v="0"/>
  </r>
  <r>
    <s v="Fruit Cake(200gram)"/>
    <x v="2"/>
    <x v="10"/>
    <n v="100"/>
    <n v="150"/>
    <n v="3"/>
    <n v="3"/>
    <n v="0"/>
    <x v="25"/>
    <s v="Sunday"/>
    <x v="17"/>
    <n v="0"/>
  </r>
  <r>
    <s v="Pineapple"/>
    <x v="3"/>
    <x v="11"/>
    <n v="25"/>
    <n v="40"/>
    <n v="11"/>
    <n v="5"/>
    <n v="6"/>
    <x v="25"/>
    <s v="Sunday"/>
    <x v="47"/>
    <n v="90"/>
  </r>
  <r>
    <s v="Chocolate Truffle"/>
    <x v="3"/>
    <x v="12"/>
    <n v="30"/>
    <n v="50"/>
    <n v="2"/>
    <n v="0"/>
    <n v="2"/>
    <x v="25"/>
    <s v="Sunday"/>
    <x v="33"/>
    <n v="40"/>
  </r>
  <r>
    <s v="Butter Scotch"/>
    <x v="3"/>
    <x v="13"/>
    <n v="25"/>
    <n v="40"/>
    <n v="6"/>
    <n v="6"/>
    <n v="0"/>
    <x v="25"/>
    <s v="Sunday"/>
    <x v="17"/>
    <n v="0"/>
  </r>
  <r>
    <s v="Black Forest"/>
    <x v="3"/>
    <x v="14"/>
    <n v="25"/>
    <n v="40"/>
    <n v="10"/>
    <n v="4"/>
    <n v="6"/>
    <x v="25"/>
    <s v="Sunday"/>
    <x v="47"/>
    <n v="90"/>
  </r>
  <r>
    <s v="Chocochip"/>
    <x v="3"/>
    <x v="15"/>
    <n v="30"/>
    <n v="55"/>
    <n v="0"/>
    <n v="0"/>
    <n v="0"/>
    <x v="25"/>
    <s v="Sunday"/>
    <x v="17"/>
    <n v="0"/>
  </r>
  <r>
    <s v="Bonfire"/>
    <x v="3"/>
    <x v="16"/>
    <n v="40"/>
    <n v="65"/>
    <n v="6"/>
    <n v="5"/>
    <n v="1"/>
    <x v="25"/>
    <s v="Sunday"/>
    <x v="71"/>
    <n v="25"/>
  </r>
  <r>
    <s v="Choco Lava"/>
    <x v="3"/>
    <x v="17"/>
    <n v="50"/>
    <n v="70"/>
    <n v="0"/>
    <n v="0"/>
    <n v="0"/>
    <x v="25"/>
    <s v="Sunday"/>
    <x v="17"/>
    <n v="0"/>
  </r>
  <r>
    <s v="Cupcakes"/>
    <x v="3"/>
    <x v="18"/>
    <n v="20"/>
    <n v="30"/>
    <n v="10"/>
    <n v="10"/>
    <n v="0"/>
    <x v="25"/>
    <s v="Sunday"/>
    <x v="17"/>
    <n v="0"/>
  </r>
  <r>
    <s v="Muffins"/>
    <x v="3"/>
    <x v="19"/>
    <n v="10"/>
    <n v="20"/>
    <n v="4"/>
    <n v="4"/>
    <n v="0"/>
    <x v="25"/>
    <s v="Sunday"/>
    <x v="17"/>
    <n v="0"/>
  </r>
  <r>
    <s v="Jar Cakes"/>
    <x v="3"/>
    <x v="20"/>
    <n v="60"/>
    <n v="100"/>
    <n v="2"/>
    <n v="2"/>
    <n v="0"/>
    <x v="25"/>
    <s v="Sunday"/>
    <x v="17"/>
    <n v="0"/>
  </r>
  <r>
    <s v="Paneer Sandwich"/>
    <x v="4"/>
    <x v="21"/>
    <n v="50"/>
    <n v="70"/>
    <n v="0"/>
    <n v="0"/>
    <n v="0"/>
    <x v="25"/>
    <s v="Sunday"/>
    <x v="17"/>
    <n v="0"/>
  </r>
  <r>
    <s v="Hotdog"/>
    <x v="4"/>
    <x v="22"/>
    <n v="45"/>
    <n v="65"/>
    <n v="0"/>
    <n v="0"/>
    <n v="0"/>
    <x v="25"/>
    <s v="Sunday"/>
    <x v="17"/>
    <n v="0"/>
  </r>
  <r>
    <s v="Paneer Roll"/>
    <x v="4"/>
    <x v="23"/>
    <n v="50"/>
    <n v="70"/>
    <n v="0"/>
    <n v="0"/>
    <n v="0"/>
    <x v="25"/>
    <s v="Sunday"/>
    <x v="17"/>
    <n v="0"/>
  </r>
  <r>
    <s v="Aloo Patiz"/>
    <x v="4"/>
    <x v="24"/>
    <n v="10"/>
    <n v="15"/>
    <n v="7"/>
    <n v="2"/>
    <n v="5"/>
    <x v="25"/>
    <s v="Sunday"/>
    <x v="49"/>
    <n v="25"/>
  </r>
  <r>
    <s v="Paneer Patiz"/>
    <x v="4"/>
    <x v="25"/>
    <n v="20"/>
    <n v="25"/>
    <n v="3"/>
    <n v="1"/>
    <n v="2"/>
    <x v="25"/>
    <s v="Sunday"/>
    <x v="41"/>
    <n v="10"/>
  </r>
  <r>
    <s v="Pao"/>
    <x v="5"/>
    <x v="26"/>
    <n v="25"/>
    <n v="30"/>
    <n v="10"/>
    <n v="5"/>
    <n v="5"/>
    <x v="25"/>
    <s v="Sunday"/>
    <x v="22"/>
    <n v="25"/>
  </r>
  <r>
    <s v="Burger Buns"/>
    <x v="5"/>
    <x v="27"/>
    <n v="25"/>
    <n v="30"/>
    <n v="2"/>
    <n v="2"/>
    <n v="0"/>
    <x v="25"/>
    <s v="Sunday"/>
    <x v="17"/>
    <n v="0"/>
  </r>
  <r>
    <s v="Pizza Base"/>
    <x v="5"/>
    <x v="28"/>
    <n v="25"/>
    <n v="30"/>
    <n v="5"/>
    <n v="3"/>
    <n v="2"/>
    <x v="25"/>
    <s v="Sunday"/>
    <x v="42"/>
    <n v="10"/>
  </r>
  <r>
    <s v="Brown Bread"/>
    <x v="5"/>
    <x v="29"/>
    <n v="30"/>
    <n v="35"/>
    <n v="10"/>
    <n v="7"/>
    <n v="3"/>
    <x v="25"/>
    <s v="Sunday"/>
    <x v="45"/>
    <n v="15"/>
  </r>
  <r>
    <s v="Pineapple"/>
    <x v="0"/>
    <x v="0"/>
    <n v="100"/>
    <n v="200"/>
    <n v="0"/>
    <n v="1"/>
    <n v="-1"/>
    <x v="26"/>
    <s v="Monday"/>
    <x v="82"/>
    <n v="-100"/>
  </r>
  <r>
    <s v="Chocolate Truffle"/>
    <x v="0"/>
    <x v="1"/>
    <n v="200"/>
    <n v="300"/>
    <n v="2"/>
    <n v="2"/>
    <n v="0"/>
    <x v="26"/>
    <s v="Monday"/>
    <x v="17"/>
    <n v="0"/>
  </r>
  <r>
    <s v="Black Forest"/>
    <x v="0"/>
    <x v="2"/>
    <n v="150"/>
    <n v="250"/>
    <n v="2"/>
    <n v="2"/>
    <n v="0"/>
    <x v="26"/>
    <s v="Monday"/>
    <x v="17"/>
    <n v="0"/>
  </r>
  <r>
    <s v="Butter Scotch"/>
    <x v="0"/>
    <x v="3"/>
    <n v="100"/>
    <n v="200"/>
    <n v="1"/>
    <n v="0"/>
    <n v="1"/>
    <x v="26"/>
    <s v="Monday"/>
    <x v="19"/>
    <n v="100"/>
  </r>
  <r>
    <s v="Pineapple"/>
    <x v="1"/>
    <x v="4"/>
    <n v="250"/>
    <n v="350"/>
    <n v="2"/>
    <n v="2"/>
    <n v="0"/>
    <x v="26"/>
    <s v="Monday"/>
    <x v="17"/>
    <n v="0"/>
  </r>
  <r>
    <s v="Chocolate Truffle"/>
    <x v="1"/>
    <x v="5"/>
    <n v="300"/>
    <n v="400"/>
    <n v="1"/>
    <n v="1"/>
    <n v="0"/>
    <x v="26"/>
    <s v="Monday"/>
    <x v="17"/>
    <n v="0"/>
  </r>
  <r>
    <s v="Black Forest"/>
    <x v="1"/>
    <x v="6"/>
    <n v="250"/>
    <n v="350"/>
    <n v="2"/>
    <n v="2"/>
    <n v="0"/>
    <x v="26"/>
    <s v="Monday"/>
    <x v="17"/>
    <n v="0"/>
  </r>
  <r>
    <s v="Butter Scotch"/>
    <x v="1"/>
    <x v="7"/>
    <n v="250"/>
    <n v="350"/>
    <n v="1"/>
    <n v="0"/>
    <n v="1"/>
    <x v="26"/>
    <s v="Monday"/>
    <x v="7"/>
    <n v="100"/>
  </r>
  <r>
    <s v="Chocochip"/>
    <x v="1"/>
    <x v="8"/>
    <n v="300"/>
    <n v="450"/>
    <n v="1"/>
    <n v="1"/>
    <n v="0"/>
    <x v="26"/>
    <s v="Monday"/>
    <x v="17"/>
    <n v="0"/>
  </r>
  <r>
    <s v="Fruit Cake(400gram)"/>
    <x v="2"/>
    <x v="9"/>
    <n v="320"/>
    <n v="400"/>
    <n v="0"/>
    <n v="0"/>
    <n v="0"/>
    <x v="26"/>
    <s v="Monday"/>
    <x v="17"/>
    <n v="0"/>
  </r>
  <r>
    <s v="Fruit Cake(200gram)"/>
    <x v="2"/>
    <x v="10"/>
    <n v="100"/>
    <n v="150"/>
    <n v="3"/>
    <n v="3"/>
    <n v="0"/>
    <x v="26"/>
    <s v="Monday"/>
    <x v="17"/>
    <n v="0"/>
  </r>
  <r>
    <s v="Pineapple"/>
    <x v="3"/>
    <x v="11"/>
    <n v="25"/>
    <n v="40"/>
    <n v="8"/>
    <n v="8"/>
    <n v="0"/>
    <x v="26"/>
    <s v="Monday"/>
    <x v="17"/>
    <n v="0"/>
  </r>
  <r>
    <s v="Chocolate Truffle"/>
    <x v="3"/>
    <x v="12"/>
    <n v="30"/>
    <n v="50"/>
    <n v="10"/>
    <n v="6"/>
    <n v="4"/>
    <x v="26"/>
    <s v="Monday"/>
    <x v="19"/>
    <n v="80"/>
  </r>
  <r>
    <s v="Butter Scotch"/>
    <x v="3"/>
    <x v="13"/>
    <n v="25"/>
    <n v="40"/>
    <n v="6"/>
    <n v="5"/>
    <n v="1"/>
    <x v="26"/>
    <s v="Monday"/>
    <x v="35"/>
    <n v="15"/>
  </r>
  <r>
    <s v="Black Forest"/>
    <x v="3"/>
    <x v="14"/>
    <n v="25"/>
    <n v="40"/>
    <n v="14"/>
    <n v="11"/>
    <n v="3"/>
    <x v="26"/>
    <s v="Monday"/>
    <x v="28"/>
    <n v="45"/>
  </r>
  <r>
    <s v="Chocochip"/>
    <x v="3"/>
    <x v="15"/>
    <n v="30"/>
    <n v="55"/>
    <n v="0"/>
    <n v="0"/>
    <n v="0"/>
    <x v="26"/>
    <s v="Monday"/>
    <x v="17"/>
    <n v="0"/>
  </r>
  <r>
    <s v="Bonfire"/>
    <x v="3"/>
    <x v="16"/>
    <n v="40"/>
    <n v="65"/>
    <n v="15"/>
    <n v="10"/>
    <n v="5"/>
    <x v="26"/>
    <s v="Monday"/>
    <x v="83"/>
    <n v="125"/>
  </r>
  <r>
    <s v="Choco Lava"/>
    <x v="3"/>
    <x v="17"/>
    <n v="50"/>
    <n v="70"/>
    <n v="0"/>
    <n v="0"/>
    <n v="0"/>
    <x v="26"/>
    <s v="Monday"/>
    <x v="17"/>
    <n v="0"/>
  </r>
  <r>
    <s v="Cupcakes"/>
    <x v="3"/>
    <x v="18"/>
    <n v="20"/>
    <n v="30"/>
    <n v="10"/>
    <n v="8"/>
    <n v="2"/>
    <x v="26"/>
    <s v="Monday"/>
    <x v="42"/>
    <n v="20"/>
  </r>
  <r>
    <s v="Muffins"/>
    <x v="3"/>
    <x v="19"/>
    <n v="10"/>
    <n v="20"/>
    <n v="4"/>
    <n v="4"/>
    <n v="0"/>
    <x v="26"/>
    <s v="Monday"/>
    <x v="17"/>
    <n v="0"/>
  </r>
  <r>
    <s v="Jar Cakes"/>
    <x v="3"/>
    <x v="20"/>
    <n v="60"/>
    <n v="100"/>
    <n v="2"/>
    <n v="1"/>
    <n v="1"/>
    <x v="26"/>
    <s v="Monday"/>
    <x v="33"/>
    <n v="40"/>
  </r>
  <r>
    <s v="Paneer Sandwich"/>
    <x v="4"/>
    <x v="21"/>
    <n v="50"/>
    <n v="70"/>
    <n v="0"/>
    <n v="0"/>
    <n v="0"/>
    <x v="26"/>
    <s v="Monday"/>
    <x v="17"/>
    <n v="0"/>
  </r>
  <r>
    <s v="Hotdog"/>
    <x v="4"/>
    <x v="22"/>
    <n v="45"/>
    <n v="65"/>
    <n v="0"/>
    <n v="0"/>
    <n v="0"/>
    <x v="26"/>
    <s v="Monday"/>
    <x v="17"/>
    <n v="0"/>
  </r>
  <r>
    <s v="Paneer Roll"/>
    <x v="4"/>
    <x v="23"/>
    <n v="50"/>
    <n v="70"/>
    <n v="0"/>
    <n v="0"/>
    <n v="0"/>
    <x v="26"/>
    <s v="Monday"/>
    <x v="17"/>
    <n v="0"/>
  </r>
  <r>
    <s v="Aloo Patiz"/>
    <x v="4"/>
    <x v="24"/>
    <n v="10"/>
    <n v="15"/>
    <n v="7"/>
    <n v="5"/>
    <n v="2"/>
    <x v="26"/>
    <s v="Monday"/>
    <x v="32"/>
    <n v="10"/>
  </r>
  <r>
    <s v="Paneer Patiz"/>
    <x v="4"/>
    <x v="25"/>
    <n v="20"/>
    <n v="25"/>
    <n v="6"/>
    <n v="2"/>
    <n v="4"/>
    <x v="26"/>
    <s v="Monday"/>
    <x v="33"/>
    <n v="20"/>
  </r>
  <r>
    <s v="Pao"/>
    <x v="5"/>
    <x v="26"/>
    <n v="25"/>
    <n v="30"/>
    <n v="10"/>
    <n v="6"/>
    <n v="4"/>
    <x v="26"/>
    <s v="Monday"/>
    <x v="28"/>
    <n v="20"/>
  </r>
  <r>
    <s v="Burger Buns"/>
    <x v="5"/>
    <x v="27"/>
    <n v="25"/>
    <n v="30"/>
    <n v="2"/>
    <n v="1"/>
    <n v="1"/>
    <x v="26"/>
    <s v="Monday"/>
    <x v="32"/>
    <n v="5"/>
  </r>
  <r>
    <s v="Pizza Base"/>
    <x v="5"/>
    <x v="28"/>
    <n v="25"/>
    <n v="30"/>
    <n v="3"/>
    <n v="1"/>
    <n v="2"/>
    <x v="26"/>
    <s v="Monday"/>
    <x v="42"/>
    <n v="10"/>
  </r>
  <r>
    <s v="Brown Bread"/>
    <x v="5"/>
    <x v="29"/>
    <n v="30"/>
    <n v="35"/>
    <n v="12"/>
    <n v="3"/>
    <n v="9"/>
    <x v="26"/>
    <s v="Monday"/>
    <x v="84"/>
    <n v="45"/>
  </r>
  <r>
    <s v="Pineapple"/>
    <x v="0"/>
    <x v="0"/>
    <n v="100"/>
    <n v="200"/>
    <n v="4"/>
    <n v="0"/>
    <n v="2"/>
    <x v="27"/>
    <s v="Wednesday"/>
    <x v="0"/>
    <n v="200"/>
  </r>
  <r>
    <s v="Chocolate Truffle"/>
    <x v="0"/>
    <x v="1"/>
    <n v="200"/>
    <n v="300"/>
    <n v="4"/>
    <n v="2"/>
    <n v="2"/>
    <x v="27"/>
    <s v="Wednesday"/>
    <x v="3"/>
    <n v="200"/>
  </r>
  <r>
    <s v="Black Forest"/>
    <x v="0"/>
    <x v="2"/>
    <n v="150"/>
    <n v="250"/>
    <n v="4"/>
    <n v="1"/>
    <n v="3"/>
    <x v="27"/>
    <s v="Wednesday"/>
    <x v="2"/>
    <n v="300"/>
  </r>
  <r>
    <s v="Butter Scotch"/>
    <x v="0"/>
    <x v="3"/>
    <n v="100"/>
    <n v="200"/>
    <n v="2"/>
    <n v="1"/>
    <n v="1"/>
    <x v="27"/>
    <s v="Wednesday"/>
    <x v="19"/>
    <n v="100"/>
  </r>
  <r>
    <s v="Pineapple"/>
    <x v="1"/>
    <x v="4"/>
    <n v="250"/>
    <n v="350"/>
    <n v="2"/>
    <n v="2"/>
    <n v="0"/>
    <x v="27"/>
    <s v="Wednesday"/>
    <x v="17"/>
    <n v="0"/>
  </r>
  <r>
    <s v="Chocolate Truffle"/>
    <x v="1"/>
    <x v="5"/>
    <n v="300"/>
    <n v="400"/>
    <n v="1"/>
    <n v="1"/>
    <n v="0"/>
    <x v="27"/>
    <s v="Wednesday"/>
    <x v="17"/>
    <n v="0"/>
  </r>
  <r>
    <s v="Black Forest"/>
    <x v="1"/>
    <x v="6"/>
    <n v="250"/>
    <n v="350"/>
    <n v="2"/>
    <n v="1"/>
    <n v="1"/>
    <x v="27"/>
    <s v="Wednesday"/>
    <x v="7"/>
    <n v="100"/>
  </r>
  <r>
    <s v="Butter Scotch"/>
    <x v="1"/>
    <x v="7"/>
    <n v="250"/>
    <n v="350"/>
    <n v="0"/>
    <n v="0"/>
    <n v="0"/>
    <x v="27"/>
    <s v="Wednesday"/>
    <x v="17"/>
    <n v="0"/>
  </r>
  <r>
    <s v="Chocochip"/>
    <x v="1"/>
    <x v="8"/>
    <n v="300"/>
    <n v="450"/>
    <n v="1"/>
    <n v="0"/>
    <n v="1"/>
    <x v="27"/>
    <s v="Wednesday"/>
    <x v="8"/>
    <n v="150"/>
  </r>
  <r>
    <s v="Fruit Cake(400gram)"/>
    <x v="2"/>
    <x v="9"/>
    <n v="320"/>
    <n v="400"/>
    <n v="0"/>
    <n v="0"/>
    <n v="0"/>
    <x v="27"/>
    <s v="Wednesday"/>
    <x v="17"/>
    <n v="0"/>
  </r>
  <r>
    <s v="Fruit Cake(200gram)"/>
    <x v="2"/>
    <x v="10"/>
    <n v="100"/>
    <n v="150"/>
    <n v="3"/>
    <n v="3"/>
    <n v="0"/>
    <x v="27"/>
    <s v="Wednesday"/>
    <x v="17"/>
    <n v="0"/>
  </r>
  <r>
    <s v="Pineapple"/>
    <x v="3"/>
    <x v="11"/>
    <n v="25"/>
    <n v="40"/>
    <n v="8"/>
    <n v="4"/>
    <n v="4"/>
    <x v="27"/>
    <s v="Wednesday"/>
    <x v="63"/>
    <n v="60"/>
  </r>
  <r>
    <s v="Chocolate Truffle"/>
    <x v="3"/>
    <x v="12"/>
    <n v="30"/>
    <n v="50"/>
    <n v="6"/>
    <n v="4"/>
    <n v="2"/>
    <x v="27"/>
    <s v="Wednesday"/>
    <x v="33"/>
    <n v="40"/>
  </r>
  <r>
    <s v="Butter Scotch"/>
    <x v="3"/>
    <x v="13"/>
    <n v="25"/>
    <n v="40"/>
    <n v="5"/>
    <n v="5"/>
    <n v="0"/>
    <x v="27"/>
    <s v="Wednesday"/>
    <x v="17"/>
    <n v="0"/>
  </r>
  <r>
    <s v="Black Forest"/>
    <x v="3"/>
    <x v="14"/>
    <n v="25"/>
    <n v="40"/>
    <n v="11"/>
    <n v="11"/>
    <n v="0"/>
    <x v="27"/>
    <s v="Wednesday"/>
    <x v="17"/>
    <n v="0"/>
  </r>
  <r>
    <s v="Chocochip"/>
    <x v="3"/>
    <x v="15"/>
    <n v="30"/>
    <n v="55"/>
    <n v="0"/>
    <n v="0"/>
    <n v="0"/>
    <x v="27"/>
    <s v="Wednesday"/>
    <x v="17"/>
    <n v="0"/>
  </r>
  <r>
    <s v="Bonfire"/>
    <x v="3"/>
    <x v="16"/>
    <n v="40"/>
    <n v="65"/>
    <n v="10"/>
    <n v="10"/>
    <n v="0"/>
    <x v="27"/>
    <s v="Wednesday"/>
    <x v="17"/>
    <n v="0"/>
  </r>
  <r>
    <s v="Choco Lava"/>
    <x v="3"/>
    <x v="17"/>
    <n v="50"/>
    <n v="70"/>
    <n v="0"/>
    <n v="0"/>
    <n v="0"/>
    <x v="27"/>
    <s v="Wednesday"/>
    <x v="17"/>
    <n v="0"/>
  </r>
  <r>
    <s v="Cupcakes"/>
    <x v="3"/>
    <x v="18"/>
    <n v="20"/>
    <n v="30"/>
    <n v="8"/>
    <n v="6"/>
    <n v="2"/>
    <x v="27"/>
    <s v="Wednesday"/>
    <x v="42"/>
    <n v="20"/>
  </r>
  <r>
    <s v="Muffins"/>
    <x v="3"/>
    <x v="19"/>
    <n v="10"/>
    <n v="20"/>
    <n v="4"/>
    <n v="3"/>
    <n v="1"/>
    <x v="27"/>
    <s v="Wednesday"/>
    <x v="80"/>
    <n v="10"/>
  </r>
  <r>
    <s v="Jar Cakes"/>
    <x v="3"/>
    <x v="20"/>
    <n v="60"/>
    <n v="100"/>
    <n v="1"/>
    <n v="1"/>
    <n v="0"/>
    <x v="27"/>
    <s v="Wednesday"/>
    <x v="17"/>
    <n v="0"/>
  </r>
  <r>
    <s v="Paneer Sandwich"/>
    <x v="4"/>
    <x v="21"/>
    <n v="50"/>
    <n v="70"/>
    <n v="4"/>
    <n v="2"/>
    <n v="2"/>
    <x v="27"/>
    <s v="Wednesday"/>
    <x v="25"/>
    <n v="40"/>
  </r>
  <r>
    <s v="Hotdog"/>
    <x v="4"/>
    <x v="22"/>
    <n v="45"/>
    <n v="65"/>
    <n v="0"/>
    <n v="0"/>
    <n v="0"/>
    <x v="27"/>
    <s v="Wednesday"/>
    <x v="17"/>
    <n v="0"/>
  </r>
  <r>
    <s v="Paneer Roll"/>
    <x v="4"/>
    <x v="23"/>
    <n v="50"/>
    <n v="70"/>
    <n v="0"/>
    <n v="0"/>
    <n v="0"/>
    <x v="27"/>
    <s v="Wednesday"/>
    <x v="17"/>
    <n v="0"/>
  </r>
  <r>
    <s v="Aloo Patiz"/>
    <x v="4"/>
    <x v="24"/>
    <n v="10"/>
    <n v="15"/>
    <n v="10"/>
    <n v="1"/>
    <n v="9"/>
    <x v="27"/>
    <s v="Wednesday"/>
    <x v="85"/>
    <n v="45"/>
  </r>
  <r>
    <s v="Paneer Patiz"/>
    <x v="4"/>
    <x v="25"/>
    <n v="20"/>
    <n v="25"/>
    <n v="7"/>
    <n v="0"/>
    <n v="7"/>
    <x v="27"/>
    <s v="Wednesday"/>
    <x v="64"/>
    <n v="35"/>
  </r>
  <r>
    <s v="Pao"/>
    <x v="5"/>
    <x v="26"/>
    <n v="25"/>
    <n v="30"/>
    <n v="16"/>
    <n v="10"/>
    <n v="6"/>
    <x v="27"/>
    <s v="Wednesday"/>
    <x v="34"/>
    <n v="30"/>
  </r>
  <r>
    <s v="Burger Buns"/>
    <x v="5"/>
    <x v="27"/>
    <n v="25"/>
    <n v="30"/>
    <n v="6"/>
    <n v="4"/>
    <n v="2"/>
    <x v="27"/>
    <s v="Wednesday"/>
    <x v="42"/>
    <n v="10"/>
  </r>
  <r>
    <s v="Pizza Base"/>
    <x v="5"/>
    <x v="28"/>
    <n v="25"/>
    <n v="30"/>
    <n v="6"/>
    <n v="0"/>
    <n v="6"/>
    <x v="27"/>
    <s v="Wednesday"/>
    <x v="34"/>
    <n v="30"/>
  </r>
  <r>
    <s v="Brown Bread"/>
    <x v="5"/>
    <x v="29"/>
    <n v="30"/>
    <n v="35"/>
    <n v="13"/>
    <n v="6"/>
    <n v="7"/>
    <x v="27"/>
    <s v="Wednesday"/>
    <x v="86"/>
    <n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A862A-64C5-4E6A-A467-D39AF9FAF79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3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10">
        <item x="1"/>
        <item x="2"/>
        <item x="3"/>
        <item x="4"/>
        <item x="5"/>
        <item x="6"/>
        <item x="0"/>
        <item x="7"/>
        <item x="8"/>
        <item t="default"/>
      </items>
    </pivotField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8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Sum of Sales " fld="10" baseField="0" baseItem="0"/>
  </dataFields>
  <formats count="4">
    <format dxfId="11">
      <pivotArea collapsedLevelsAreSubtotals="1" fieldPosition="0">
        <references count="1">
          <reference field="8" count="1">
            <x v="7"/>
          </reference>
        </references>
      </pivotArea>
    </format>
    <format dxfId="10">
      <pivotArea collapsedLevelsAreSubtotals="1" fieldPosition="0">
        <references count="1">
          <reference field="8" count="1">
            <x v="14"/>
          </reference>
        </references>
      </pivotArea>
    </format>
    <format dxfId="9">
      <pivotArea collapsedLevelsAreSubtotals="1" fieldPosition="0">
        <references count="1">
          <reference field="8" count="1">
            <x v="21"/>
          </reference>
        </references>
      </pivotArea>
    </format>
    <format dxfId="8">
      <pivotArea collapsedLevelsAreSubtotals="1" fieldPosition="0">
        <references count="1">
          <reference field="8" count="1">
            <x v="2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826DC-AE23-4644-BE01-38A23459F03F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2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axis="axisRow" showAll="0">
      <items count="10">
        <item x="1"/>
        <item x="2"/>
        <item x="3"/>
        <item x="4"/>
        <item x="5"/>
        <item x="6"/>
        <item x="0"/>
        <item x="7"/>
        <item x="8"/>
        <item t="default"/>
      </items>
    </pivotField>
    <pivotField dataField="1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9"/>
    <field x="8"/>
  </rowFields>
  <rowItems count="39">
    <i>
      <x/>
    </i>
    <i r="1">
      <x v="1"/>
    </i>
    <i r="1">
      <x v="8"/>
    </i>
    <i r="1">
      <x v="14"/>
    </i>
    <i r="1">
      <x v="20"/>
    </i>
    <i r="1">
      <x v="26"/>
    </i>
    <i>
      <x v="1"/>
    </i>
    <i r="1">
      <x v="2"/>
    </i>
    <i>
      <x v="2"/>
    </i>
    <i r="1">
      <x v="3"/>
    </i>
    <i r="1">
      <x v="9"/>
    </i>
    <i r="1">
      <x v="21"/>
    </i>
    <i r="1">
      <x v="27"/>
    </i>
    <i>
      <x v="3"/>
    </i>
    <i r="1">
      <x v="4"/>
    </i>
    <i r="1">
      <x v="10"/>
    </i>
    <i r="1">
      <x v="16"/>
    </i>
    <i r="1">
      <x v="22"/>
    </i>
    <i>
      <x v="4"/>
    </i>
    <i r="1">
      <x v="5"/>
    </i>
    <i r="1">
      <x v="11"/>
    </i>
    <i r="1">
      <x v="17"/>
    </i>
    <i r="1">
      <x v="23"/>
    </i>
    <i>
      <x v="5"/>
    </i>
    <i r="1">
      <x v="6"/>
    </i>
    <i r="1">
      <x v="12"/>
    </i>
    <i r="1">
      <x v="18"/>
    </i>
    <i r="1">
      <x v="24"/>
    </i>
    <i>
      <x v="6"/>
    </i>
    <i r="1">
      <x/>
    </i>
    <i r="1">
      <x v="7"/>
    </i>
    <i r="1">
      <x v="13"/>
    </i>
    <i r="1">
      <x v="19"/>
    </i>
    <i r="1">
      <x v="25"/>
    </i>
    <i>
      <x v="7"/>
    </i>
    <i r="1">
      <x v="15"/>
    </i>
    <i>
      <x v="8"/>
    </i>
    <i r="1">
      <x v="28"/>
    </i>
    <i t="grand">
      <x/>
    </i>
  </rowItems>
  <colItems count="1">
    <i/>
  </colItems>
  <dataFields count="1">
    <dataField name="Sum of Sales 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9BD92-B0DC-4342-BCC5-8D90E6EBDB4C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2">
    <pivotField showAll="0"/>
    <pivotField axis="axisRow" showAll="0">
      <items count="7">
        <item x="5"/>
        <item x="2"/>
        <item x="0"/>
        <item x="3"/>
        <item x="1"/>
        <item x="4"/>
        <item t="default"/>
      </items>
    </pivotField>
    <pivotField showAll="0"/>
    <pivotField numFmtId="164" showAll="0"/>
    <pivotField numFmtId="164" showAll="0"/>
    <pivotField showAll="0"/>
    <pivotField showAll="0"/>
    <pivotField showAll="0"/>
    <pivotField numFmtId="165" showAll="0"/>
    <pivotField showAll="0"/>
    <pivotField dataField="1" numFmtId="164" showAll="0"/>
    <pivotField numFmtId="164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es " fld="10" subtotal="average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3DF11E-8B2C-49CD-8AE6-2FF3CB3D76DE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1" firstHeaderRow="0" firstDataRow="1" firstDataCol="1"/>
  <pivotFields count="15">
    <pivotField showAll="0"/>
    <pivotField axis="axisRow" showAll="0">
      <items count="8">
        <item x="5"/>
        <item x="2"/>
        <item x="0"/>
        <item x="3"/>
        <item x="1"/>
        <item x="4"/>
        <item x="6"/>
        <item t="default"/>
      </items>
    </pivotField>
    <pivotField showAll="0">
      <items count="32">
        <item x="26"/>
        <item x="27"/>
        <item x="28"/>
        <item x="29"/>
        <item x="9"/>
        <item x="10"/>
        <item x="0"/>
        <item x="1"/>
        <item x="2"/>
        <item x="3"/>
        <item x="11"/>
        <item x="12"/>
        <item x="13"/>
        <item x="14"/>
        <item x="15"/>
        <item x="16"/>
        <item x="17"/>
        <item x="18"/>
        <item x="19"/>
        <item x="20"/>
        <item x="4"/>
        <item x="5"/>
        <item x="6"/>
        <item x="7"/>
        <item x="8"/>
        <item x="21"/>
        <item x="22"/>
        <item x="23"/>
        <item x="24"/>
        <item x="25"/>
        <item x="30"/>
        <item t="default"/>
      </items>
    </pivotField>
    <pivotField showAll="0"/>
    <pivotField showAll="0"/>
    <pivotField showAll="0"/>
    <pivotField showAll="0"/>
    <pivotField dataField="1"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dataField="1" showAll="0">
      <items count="89">
        <item x="82"/>
        <item x="81"/>
        <item x="17"/>
        <item x="80"/>
        <item x="39"/>
        <item x="32"/>
        <item x="72"/>
        <item x="35"/>
        <item x="61"/>
        <item x="41"/>
        <item x="30"/>
        <item x="42"/>
        <item x="71"/>
        <item x="20"/>
        <item x="49"/>
        <item x="44"/>
        <item x="38"/>
        <item x="33"/>
        <item x="45"/>
        <item x="55"/>
        <item x="28"/>
        <item x="79"/>
        <item x="37"/>
        <item x="85"/>
        <item x="25"/>
        <item x="22"/>
        <item x="63"/>
        <item x="40"/>
        <item x="64"/>
        <item x="34"/>
        <item x="65"/>
        <item x="19"/>
        <item x="24"/>
        <item x="76"/>
        <item x="21"/>
        <item x="47"/>
        <item x="86"/>
        <item x="26"/>
        <item x="57"/>
        <item x="56"/>
        <item x="36"/>
        <item x="29"/>
        <item x="62"/>
        <item x="84"/>
        <item x="48"/>
        <item x="83"/>
        <item x="78"/>
        <item x="7"/>
        <item x="23"/>
        <item x="75"/>
        <item x="16"/>
        <item x="0"/>
        <item x="59"/>
        <item x="69"/>
        <item x="8"/>
        <item x="77"/>
        <item x="13"/>
        <item x="12"/>
        <item x="58"/>
        <item x="43"/>
        <item x="18"/>
        <item x="68"/>
        <item x="3"/>
        <item x="73"/>
        <item x="31"/>
        <item x="4"/>
        <item x="67"/>
        <item x="66"/>
        <item x="2"/>
        <item x="70"/>
        <item x="53"/>
        <item x="74"/>
        <item x="14"/>
        <item x="1"/>
        <item x="60"/>
        <item x="15"/>
        <item x="54"/>
        <item x="9"/>
        <item x="11"/>
        <item x="27"/>
        <item x="6"/>
        <item x="10"/>
        <item x="5"/>
        <item x="46"/>
        <item x="51"/>
        <item x="50"/>
        <item x="52"/>
        <item x="87"/>
        <item t="default"/>
      </items>
    </pivotField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" fld="10" baseField="0" baseItem="0"/>
    <dataField name="Sum of Number Of Items Sold" fld="7" baseField="0" baseItem="0"/>
    <dataField name="Sum of profi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854DB-A203-48BF-B028-81A4EEBA005C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B10" firstHeaderRow="1" firstDataRow="1" firstDataCol="1"/>
  <pivotFields count="12">
    <pivotField showAll="0"/>
    <pivotField axis="axisRow" showAll="0">
      <items count="7">
        <item x="5"/>
        <item x="2"/>
        <item x="0"/>
        <item x="3"/>
        <item x="1"/>
        <item x="4"/>
        <item t="default"/>
      </items>
    </pivotField>
    <pivotField showAll="0"/>
    <pivotField numFmtId="164" showAll="0"/>
    <pivotField numFmtId="164" showAll="0"/>
    <pivotField showAll="0"/>
    <pivotField showAll="0"/>
    <pivotField dataField="1" showAll="0"/>
    <pivotField numFmtId="165" showAll="0"/>
    <pivotField showAll="0"/>
    <pivotField numFmtId="164" showAll="0"/>
    <pivotField numFmtId="164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umber Of Items Sold" fld="7" baseField="0" baseItem="0"/>
  </dataField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6A954-C9D9-4E3A-92AA-EEAD321A0EE6}" name="PivotTable3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36">
  <location ref="A3:B34" firstHeaderRow="2" firstDataRow="2" firstDataCol="1"/>
  <pivotFields count="1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n="." x="28"/>
        <item t="default"/>
      </items>
    </pivotField>
    <pivotField compact="0" outline="0" showAll="0" includeNewItemsInFilter="1">
      <items count="10">
        <item x="1"/>
        <item x="2"/>
        <item x="3"/>
        <item x="4"/>
        <item x="5"/>
        <item x="6"/>
        <item x="0"/>
        <item x="7"/>
        <item x="8"/>
        <item t="default"/>
      </items>
    </pivotField>
    <pivotField dataField="1" compact="0" outline="0" showAll="0" includeNewItemsInFilter="1">
      <items count="89">
        <item x="82"/>
        <item x="81"/>
        <item x="17"/>
        <item x="80"/>
        <item x="39"/>
        <item x="32"/>
        <item x="72"/>
        <item x="35"/>
        <item x="61"/>
        <item x="41"/>
        <item x="30"/>
        <item x="42"/>
        <item x="71"/>
        <item x="20"/>
        <item x="49"/>
        <item x="44"/>
        <item x="38"/>
        <item x="33"/>
        <item x="45"/>
        <item x="55"/>
        <item x="28"/>
        <item x="79"/>
        <item x="37"/>
        <item x="85"/>
        <item x="25"/>
        <item x="22"/>
        <item x="63"/>
        <item x="40"/>
        <item x="64"/>
        <item x="34"/>
        <item x="65"/>
        <item x="19"/>
        <item x="24"/>
        <item x="76"/>
        <item x="21"/>
        <item x="47"/>
        <item x="86"/>
        <item x="26"/>
        <item x="57"/>
        <item x="56"/>
        <item x="36"/>
        <item x="29"/>
        <item x="62"/>
        <item x="84"/>
        <item x="48"/>
        <item x="83"/>
        <item x="78"/>
        <item x="7"/>
        <item x="23"/>
        <item x="75"/>
        <item x="16"/>
        <item x="0"/>
        <item x="59"/>
        <item x="69"/>
        <item x="8"/>
        <item x="77"/>
        <item x="13"/>
        <item x="12"/>
        <item x="58"/>
        <item x="43"/>
        <item x="18"/>
        <item x="68"/>
        <item x="3"/>
        <item x="73"/>
        <item x="31"/>
        <item x="4"/>
        <item x="67"/>
        <item x="66"/>
        <item x="2"/>
        <item x="70"/>
        <item x="53"/>
        <item x="74"/>
        <item x="14"/>
        <item x="1"/>
        <item x="60"/>
        <item x="15"/>
        <item x="54"/>
        <item x="9"/>
        <item x="11"/>
        <item x="27"/>
        <item x="6"/>
        <item x="10"/>
        <item x="5"/>
        <item x="46"/>
        <item x="51"/>
        <item x="50"/>
        <item x="52"/>
        <item x="87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 includeNewItemsInFilter="1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 includeNewItemsInFilter="1">
      <items count="5">
        <item sd="0" x="0"/>
        <item sd="0" x="1"/>
        <item sd="0" x="2"/>
        <item sd="0" x="3"/>
        <item t="default"/>
      </items>
    </pivotField>
  </pivotFields>
  <rowFields count="1">
    <field x="8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Sum of Sales " fld="10" baseField="0" baseItem="0" numFmtId="164"/>
  </dataFields>
  <formats count="1">
    <format dxfId="7">
      <pivotArea outline="0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EFEAA-659E-49B1-8EE8-FFB5111D8DE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3:B10" firstHeaderRow="1" firstDataRow="1" firstDataCol="1"/>
  <pivotFields count="13">
    <pivotField showAll="0"/>
    <pivotField axis="axisRow" showAll="0">
      <items count="7">
        <item x="5"/>
        <item x="2"/>
        <item x="0"/>
        <item x="3"/>
        <item x="1"/>
        <item x="4"/>
        <item t="default"/>
      </items>
    </pivotField>
    <pivotField showAll="0"/>
    <pivotField numFmtId="164" showAll="0"/>
    <pivotField numFmtId="164" showAll="0"/>
    <pivotField showAll="0"/>
    <pivotField showAll="0"/>
    <pivotField showAll="0"/>
    <pivotField numFmtId="15" showAll="0"/>
    <pivotField showAll="0"/>
    <pivotField dataField="1" numFmtId="164" showAll="0"/>
    <pivotField numFmtId="164" showAll="0"/>
    <pivotField numFmtId="1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 " fld="10" baseField="0" baseItem="0" numFmtId="164"/>
  </dataFields>
  <formats count="1">
    <format dxfId="6">
      <pivotArea outline="0" collapsedLevelsAreSubtotals="1" fieldPosition="0"/>
    </format>
  </formats>
  <chartFormats count="7">
    <chartFormat chart="2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7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7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7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7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6F839-6615-4F2F-B342-74F09EA9232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">
  <location ref="A4:D13" firstHeaderRow="1" firstDataRow="2" firstDataCol="1" rowPageCount="1" colPageCount="1"/>
  <pivotFields count="13">
    <pivotField showAll="0">
      <items count="22">
        <item x="15"/>
        <item x="2"/>
        <item x="7"/>
        <item x="20"/>
        <item x="18"/>
        <item x="3"/>
        <item x="8"/>
        <item x="4"/>
        <item x="1"/>
        <item x="9"/>
        <item x="6"/>
        <item x="5"/>
        <item x="13"/>
        <item x="11"/>
        <item x="10"/>
        <item x="16"/>
        <item x="14"/>
        <item x="12"/>
        <item x="17"/>
        <item x="0"/>
        <item x="19"/>
        <item t="default"/>
      </items>
    </pivotField>
    <pivotField showAll="0">
      <items count="7">
        <item x="5"/>
        <item x="2"/>
        <item x="0"/>
        <item x="3"/>
        <item x="1"/>
        <item x="4"/>
        <item t="default"/>
      </items>
    </pivotField>
    <pivotField showAll="0">
      <items count="31">
        <item x="26"/>
        <item x="27"/>
        <item x="28"/>
        <item x="29"/>
        <item x="9"/>
        <item x="10"/>
        <item x="0"/>
        <item x="1"/>
        <item x="2"/>
        <item x="3"/>
        <item x="11"/>
        <item x="12"/>
        <item x="13"/>
        <item x="14"/>
        <item x="15"/>
        <item x="16"/>
        <item x="17"/>
        <item x="18"/>
        <item x="19"/>
        <item x="20"/>
        <item x="4"/>
        <item x="5"/>
        <item x="6"/>
        <item x="7"/>
        <item x="8"/>
        <item x="21"/>
        <item x="22"/>
        <item x="23"/>
        <item x="24"/>
        <item x="25"/>
        <item t="default"/>
      </items>
    </pivotField>
    <pivotField numFmtId="164" showAll="0"/>
    <pivotField numFmtId="164" showAll="0"/>
    <pivotField showAll="0"/>
    <pivotField showAll="0"/>
    <pivotField dataField="1" showAll="0"/>
    <pivotField axis="axisPage" numFmtId="15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Row" showAll="0">
      <items count="9">
        <item x="1"/>
        <item x="2"/>
        <item x="3"/>
        <item x="4"/>
        <item x="5"/>
        <item x="6"/>
        <item x="0"/>
        <item x="7"/>
        <item t="default"/>
      </items>
    </pivotField>
    <pivotField dataField="1" numFmtId="164" showAll="0"/>
    <pivotField dataField="1" numFmtId="164" showAll="0">
      <items count="52">
        <item x="50"/>
        <item x="49"/>
        <item x="11"/>
        <item x="28"/>
        <item x="25"/>
        <item x="26"/>
        <item x="13"/>
        <item x="22"/>
        <item x="15"/>
        <item x="17"/>
        <item x="29"/>
        <item x="20"/>
        <item x="24"/>
        <item x="47"/>
        <item x="16"/>
        <item x="40"/>
        <item x="14"/>
        <item x="12"/>
        <item x="39"/>
        <item x="31"/>
        <item x="3"/>
        <item x="21"/>
        <item x="33"/>
        <item x="27"/>
        <item x="43"/>
        <item x="32"/>
        <item x="4"/>
        <item x="19"/>
        <item x="48"/>
        <item x="8"/>
        <item x="30"/>
        <item x="0"/>
        <item x="45"/>
        <item x="5"/>
        <item x="23"/>
        <item x="42"/>
        <item x="44"/>
        <item x="1"/>
        <item x="46"/>
        <item x="9"/>
        <item x="38"/>
        <item x="2"/>
        <item x="18"/>
        <item x="10"/>
        <item x="7"/>
        <item x="6"/>
        <item x="36"/>
        <item x="34"/>
        <item x="37"/>
        <item x="41"/>
        <item x="35"/>
        <item t="default"/>
      </items>
    </pivotField>
    <pivotField numFmtId="10" showAll="0">
      <items count="83">
        <item x="80"/>
        <item x="7"/>
        <item x="53"/>
        <item x="62"/>
        <item x="77"/>
        <item x="76"/>
        <item x="51"/>
        <item x="79"/>
        <item x="35"/>
        <item x="17"/>
        <item x="32"/>
        <item x="24"/>
        <item x="10"/>
        <item x="72"/>
        <item x="27"/>
        <item x="25"/>
        <item x="33"/>
        <item x="19"/>
        <item x="52"/>
        <item x="20"/>
        <item x="38"/>
        <item x="68"/>
        <item x="30"/>
        <item x="70"/>
        <item x="40"/>
        <item x="73"/>
        <item x="36"/>
        <item x="11"/>
        <item x="71"/>
        <item x="63"/>
        <item x="9"/>
        <item x="16"/>
        <item x="55"/>
        <item x="37"/>
        <item x="0"/>
        <item x="21"/>
        <item x="61"/>
        <item x="8"/>
        <item x="48"/>
        <item x="5"/>
        <item x="22"/>
        <item x="69"/>
        <item x="29"/>
        <item x="57"/>
        <item x="50"/>
        <item x="42"/>
        <item x="47"/>
        <item x="3"/>
        <item x="59"/>
        <item x="74"/>
        <item x="75"/>
        <item x="54"/>
        <item x="65"/>
        <item x="49"/>
        <item x="15"/>
        <item x="58"/>
        <item x="13"/>
        <item x="1"/>
        <item x="23"/>
        <item x="12"/>
        <item x="14"/>
        <item x="81"/>
        <item x="41"/>
        <item x="31"/>
        <item x="34"/>
        <item x="28"/>
        <item x="39"/>
        <item x="43"/>
        <item x="2"/>
        <item x="26"/>
        <item x="64"/>
        <item x="18"/>
        <item x="66"/>
        <item x="44"/>
        <item x="45"/>
        <item x="60"/>
        <item x="78"/>
        <item x="46"/>
        <item x="67"/>
        <item x="56"/>
        <item x="6"/>
        <item x="4"/>
        <item t="default"/>
      </items>
    </pivotField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8" hier="0"/>
  </pageFields>
  <dataFields count="3">
    <dataField name="Sum of Number Of Items Sold" fld="7" baseField="0" baseItem="0"/>
    <dataField name="Sum of Sales " fld="10" baseField="0" baseItem="0"/>
    <dataField name="Sum of profit" fld="11" baseField="0" baseItem="0"/>
  </dataFields>
  <formats count="2">
    <format dxfId="5">
      <pivotArea dataOnly="0" outline="0" fieldPosition="0">
        <references count="1">
          <reference field="4294967294" count="1">
            <x v="1"/>
          </reference>
        </references>
      </pivotArea>
    </format>
    <format dxfId="4">
      <pivotArea field="9" grandRow="1" outline="0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2BCBEF-B4FF-4D9F-AFF1-10D8CCA09EE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D32" firstHeaderRow="1" firstDataRow="2" firstDataCol="1"/>
  <pivotFields count="13">
    <pivotField showAll="0"/>
    <pivotField showAll="0"/>
    <pivotField axis="axisRow" showAll="0" sortType="ascending">
      <items count="31">
        <item x="26"/>
        <item x="27"/>
        <item x="28"/>
        <item x="29"/>
        <item x="9"/>
        <item x="10"/>
        <item x="0"/>
        <item x="1"/>
        <item x="2"/>
        <item x="3"/>
        <item x="11"/>
        <item x="12"/>
        <item x="13"/>
        <item x="14"/>
        <item x="15"/>
        <item x="16"/>
        <item x="17"/>
        <item x="18"/>
        <item x="19"/>
        <item x="20"/>
        <item x="4"/>
        <item x="5"/>
        <item x="6"/>
        <item x="7"/>
        <item x="8"/>
        <item x="21"/>
        <item x="22"/>
        <item x="23"/>
        <item x="24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64" showAll="0"/>
    <pivotField showAll="0"/>
    <pivotField showAll="0"/>
    <pivotField dataField="1" showAll="0"/>
    <pivotField numFmtId="15" showAll="0"/>
    <pivotField showAll="0"/>
    <pivotField dataField="1" numFmtId="164" showAll="0"/>
    <pivotField dataField="1" numFmtId="164" showAll="0"/>
    <pivotField numFmtId="10" showAll="0"/>
  </pivotFields>
  <rowFields count="1">
    <field x="2"/>
  </rowFields>
  <rowItems count="31">
    <i>
      <x v="16"/>
    </i>
    <i>
      <x v="27"/>
    </i>
    <i>
      <x v="26"/>
    </i>
    <i>
      <x v="4"/>
    </i>
    <i>
      <x v="21"/>
    </i>
    <i>
      <x v="18"/>
    </i>
    <i>
      <x v="24"/>
    </i>
    <i>
      <x v="5"/>
    </i>
    <i>
      <x v="19"/>
    </i>
    <i>
      <x v="22"/>
    </i>
    <i>
      <x v="23"/>
    </i>
    <i>
      <x v="8"/>
    </i>
    <i>
      <x v="25"/>
    </i>
    <i>
      <x v="7"/>
    </i>
    <i>
      <x v="20"/>
    </i>
    <i>
      <x v="9"/>
    </i>
    <i>
      <x v="1"/>
    </i>
    <i>
      <x v="6"/>
    </i>
    <i>
      <x v="14"/>
    </i>
    <i>
      <x v="2"/>
    </i>
    <i>
      <x v="17"/>
    </i>
    <i>
      <x v="12"/>
    </i>
    <i>
      <x v="11"/>
    </i>
    <i>
      <x v="29"/>
    </i>
    <i>
      <x v="3"/>
    </i>
    <i>
      <x v="15"/>
    </i>
    <i>
      <x/>
    </i>
    <i>
      <x v="28"/>
    </i>
    <i>
      <x v="13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Items Sold" fld="7" baseField="0" baseItem="0"/>
    <dataField name="Sum of Sales " fld="10" baseField="0" baseItem="0" numFmtId="164"/>
    <dataField name="Sum of profit" fld="11" baseField="0" baseItem="0" numFmtId="164"/>
  </dataFields>
  <formats count="1">
    <format dxfId="3">
      <pivotArea outline="0" fieldPosition="0">
        <references count="1">
          <reference field="4294967294" count="2" selected="0"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F443C-B4AD-494C-981A-EC71E11D67D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13">
    <pivotField showAll="0"/>
    <pivotField axis="axisRow" showAll="0">
      <items count="7">
        <item x="5"/>
        <item x="2"/>
        <item x="0"/>
        <item x="3"/>
        <item x="1"/>
        <item x="4"/>
        <item t="default"/>
      </items>
    </pivotField>
    <pivotField showAll="0">
      <items count="31">
        <item x="26"/>
        <item x="27"/>
        <item x="28"/>
        <item x="29"/>
        <item x="9"/>
        <item x="10"/>
        <item x="0"/>
        <item x="1"/>
        <item x="2"/>
        <item x="3"/>
        <item x="11"/>
        <item x="12"/>
        <item x="13"/>
        <item x="14"/>
        <item x="15"/>
        <item x="16"/>
        <item x="17"/>
        <item x="18"/>
        <item x="19"/>
        <item x="20"/>
        <item x="4"/>
        <item x="5"/>
        <item x="6"/>
        <item x="7"/>
        <item x="8"/>
        <item x="21"/>
        <item x="22"/>
        <item x="23"/>
        <item x="24"/>
        <item x="25"/>
        <item t="default"/>
      </items>
    </pivotField>
    <pivotField numFmtId="164" showAll="0"/>
    <pivotField numFmtId="164" showAll="0">
      <items count="19">
        <item x="15"/>
        <item x="13"/>
        <item x="16"/>
        <item x="12"/>
        <item x="17"/>
        <item x="7"/>
        <item x="8"/>
        <item x="9"/>
        <item x="10"/>
        <item x="11"/>
        <item x="14"/>
        <item x="6"/>
        <item x="0"/>
        <item x="2"/>
        <item x="1"/>
        <item x="3"/>
        <item x="4"/>
        <item x="5"/>
        <item t="default"/>
      </items>
    </pivotField>
    <pivotField showAll="0"/>
    <pivotField showAll="0"/>
    <pivotField showAll="0"/>
    <pivotField numFmtId="15" showAll="0"/>
    <pivotField showAll="0"/>
    <pivotField dataField="1" numFmtId="164" showAll="0"/>
    <pivotField numFmtId="164" showAll="0"/>
    <pivotField numFmtId="1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 " fld="10" baseField="0" baseItem="0"/>
  </dataFields>
  <formats count="2">
    <format dxfId="2">
      <pivotArea grandRow="1" outline="0" fieldPosition="0"/>
    </format>
    <format dxfId="1">
      <pivotArea fieldPosition="0">
        <references count="1">
          <reference field="1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96FC1-5501-4AA2-BBEC-61D609F0BE1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:D34" firstHeaderRow="1" firstDataRow="2" firstDataCol="1"/>
  <pivotFields count="13">
    <pivotField showAll="0"/>
    <pivotField showAll="0"/>
    <pivotField axis="axisRow" showAll="0" sortType="descending">
      <items count="31">
        <item x="26"/>
        <item x="27"/>
        <item x="28"/>
        <item x="29"/>
        <item x="9"/>
        <item x="10"/>
        <item x="0"/>
        <item x="1"/>
        <item x="2"/>
        <item x="3"/>
        <item x="11"/>
        <item x="12"/>
        <item x="13"/>
        <item x="14"/>
        <item x="15"/>
        <item x="16"/>
        <item x="17"/>
        <item x="18"/>
        <item x="19"/>
        <item x="20"/>
        <item x="4"/>
        <item x="5"/>
        <item x="6"/>
        <item x="7"/>
        <item x="8"/>
        <item x="21"/>
        <item x="22"/>
        <item x="23"/>
        <item x="24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64" showAll="0"/>
    <pivotField showAll="0"/>
    <pivotField showAll="0"/>
    <pivotField dataField="1" showAll="0"/>
    <pivotField numFmtId="15" showAll="0"/>
    <pivotField showAll="0"/>
    <pivotField dataField="1" numFmtId="164" showAll="0"/>
    <pivotField dataField="1" numFmtId="164" showAll="0"/>
    <pivotField numFmtId="10" showAll="0"/>
  </pivotFields>
  <rowFields count="1">
    <field x="2"/>
  </rowFields>
  <rowItems count="31">
    <i>
      <x v="20"/>
    </i>
    <i>
      <x v="23"/>
    </i>
    <i>
      <x v="22"/>
    </i>
    <i>
      <x v="24"/>
    </i>
    <i>
      <x v="7"/>
    </i>
    <i>
      <x v="6"/>
    </i>
    <i>
      <x v="9"/>
    </i>
    <i>
      <x v="8"/>
    </i>
    <i>
      <x v="15"/>
    </i>
    <i>
      <x v="10"/>
    </i>
    <i>
      <x v="13"/>
    </i>
    <i>
      <x v="21"/>
    </i>
    <i>
      <x v="11"/>
    </i>
    <i>
      <x v="14"/>
    </i>
    <i>
      <x v="3"/>
    </i>
    <i>
      <x v="5"/>
    </i>
    <i>
      <x v="12"/>
    </i>
    <i>
      <x/>
    </i>
    <i>
      <x v="19"/>
    </i>
    <i>
      <x v="4"/>
    </i>
    <i>
      <x v="29"/>
    </i>
    <i>
      <x v="17"/>
    </i>
    <i>
      <x v="2"/>
    </i>
    <i>
      <x v="25"/>
    </i>
    <i>
      <x v="28"/>
    </i>
    <i>
      <x v="1"/>
    </i>
    <i>
      <x v="18"/>
    </i>
    <i>
      <x v="27"/>
    </i>
    <i>
      <x v="26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" fld="10" baseField="0" baseItem="0" numFmtId="164"/>
    <dataField name="Sum of profit" fld="11" baseField="0" baseItem="0" numFmtId="164"/>
    <dataField name="Sum of Number Of Items Sold" fld="7" baseField="0" baseItem="0"/>
  </dataFields>
  <formats count="1">
    <format dxfId="0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C1E21-40EB-4E96-B235-51E279F41238}">
  <dimension ref="A1:J841"/>
  <sheetViews>
    <sheetView workbookViewId="0">
      <selection activeCell="G8" sqref="G8"/>
    </sheetView>
  </sheetViews>
  <sheetFormatPr defaultRowHeight="15" x14ac:dyDescent="0.25"/>
  <cols>
    <col min="1" max="1" width="17.85546875" customWidth="1"/>
    <col min="2" max="3" width="13.5703125" customWidth="1"/>
    <col min="4" max="4" width="13.5703125" style="2" customWidth="1"/>
    <col min="5" max="5" width="12.85546875" style="2" customWidth="1"/>
    <col min="6" max="6" width="15" customWidth="1"/>
    <col min="7" max="7" width="14.85546875" customWidth="1"/>
    <col min="8" max="8" width="22.140625" customWidth="1"/>
    <col min="9" max="9" width="10.28515625" customWidth="1"/>
    <col min="10" max="10" width="10.85546875" customWidth="1"/>
  </cols>
  <sheetData>
    <row r="1" spans="1:10" ht="15.75" x14ac:dyDescent="0.25">
      <c r="A1" s="3" t="s">
        <v>0</v>
      </c>
      <c r="B1" s="3" t="s">
        <v>1</v>
      </c>
      <c r="C1" s="3" t="s">
        <v>47</v>
      </c>
      <c r="D1" s="4" t="s">
        <v>45</v>
      </c>
      <c r="E1" s="4" t="s">
        <v>44</v>
      </c>
      <c r="F1" s="3" t="s">
        <v>41</v>
      </c>
      <c r="G1" s="3" t="s">
        <v>43</v>
      </c>
      <c r="H1" s="3" t="s">
        <v>39</v>
      </c>
      <c r="I1" s="3" t="s">
        <v>4</v>
      </c>
      <c r="J1" s="3" t="s">
        <v>5</v>
      </c>
    </row>
    <row r="2" spans="1:10" x14ac:dyDescent="0.25">
      <c r="A2" t="s">
        <v>2</v>
      </c>
      <c r="B2" t="s">
        <v>3</v>
      </c>
      <c r="C2" t="s">
        <v>48</v>
      </c>
      <c r="D2" s="2">
        <v>100</v>
      </c>
      <c r="E2" s="2">
        <v>200</v>
      </c>
      <c r="F2">
        <v>6</v>
      </c>
      <c r="G2">
        <v>4</v>
      </c>
      <c r="H2">
        <f>F2-G2</f>
        <v>2</v>
      </c>
      <c r="I2" s="1">
        <v>44920</v>
      </c>
      <c r="J2" t="s">
        <v>6</v>
      </c>
    </row>
    <row r="3" spans="1:10" x14ac:dyDescent="0.25">
      <c r="A3" t="s">
        <v>7</v>
      </c>
      <c r="B3" t="s">
        <v>3</v>
      </c>
      <c r="C3" t="s">
        <v>77</v>
      </c>
      <c r="D3" s="2">
        <v>200</v>
      </c>
      <c r="E3" s="2">
        <v>300</v>
      </c>
      <c r="F3">
        <v>5</v>
      </c>
      <c r="G3">
        <v>2</v>
      </c>
      <c r="H3">
        <f>F3-G3</f>
        <v>3</v>
      </c>
      <c r="I3" s="1">
        <v>44920</v>
      </c>
      <c r="J3" t="s">
        <v>6</v>
      </c>
    </row>
    <row r="4" spans="1:10" x14ac:dyDescent="0.25">
      <c r="A4" t="s">
        <v>23</v>
      </c>
      <c r="B4" t="s">
        <v>3</v>
      </c>
      <c r="C4" t="s">
        <v>52</v>
      </c>
      <c r="D4" s="2">
        <v>150</v>
      </c>
      <c r="E4" s="2">
        <v>250</v>
      </c>
      <c r="F4">
        <v>4</v>
      </c>
      <c r="G4">
        <v>1</v>
      </c>
      <c r="H4">
        <f t="shared" ref="H4:H258" si="0">F4-G4</f>
        <v>3</v>
      </c>
      <c r="I4" s="1">
        <v>44920</v>
      </c>
      <c r="J4" t="s">
        <v>6</v>
      </c>
    </row>
    <row r="5" spans="1:10" x14ac:dyDescent="0.25">
      <c r="A5" t="s">
        <v>9</v>
      </c>
      <c r="B5" t="s">
        <v>3</v>
      </c>
      <c r="C5" t="s">
        <v>53</v>
      </c>
      <c r="D5" s="2">
        <v>100</v>
      </c>
      <c r="E5" s="2">
        <v>200</v>
      </c>
      <c r="F5">
        <v>5</v>
      </c>
      <c r="G5">
        <v>2</v>
      </c>
      <c r="H5">
        <f t="shared" si="0"/>
        <v>3</v>
      </c>
      <c r="I5" s="1">
        <v>44920</v>
      </c>
      <c r="J5" t="s">
        <v>6</v>
      </c>
    </row>
    <row r="6" spans="1:10" x14ac:dyDescent="0.25">
      <c r="A6" t="s">
        <v>2</v>
      </c>
      <c r="B6" t="s">
        <v>12</v>
      </c>
      <c r="C6" t="s">
        <v>49</v>
      </c>
      <c r="D6" s="2">
        <v>250</v>
      </c>
      <c r="E6" s="2">
        <v>350</v>
      </c>
      <c r="F6">
        <v>4</v>
      </c>
      <c r="G6">
        <v>2</v>
      </c>
      <c r="H6">
        <f t="shared" si="0"/>
        <v>2</v>
      </c>
      <c r="I6" s="1">
        <v>44920</v>
      </c>
      <c r="J6" t="s">
        <v>6</v>
      </c>
    </row>
    <row r="7" spans="1:10" x14ac:dyDescent="0.25">
      <c r="A7" t="s">
        <v>7</v>
      </c>
      <c r="B7" t="s">
        <v>12</v>
      </c>
      <c r="C7" t="s">
        <v>54</v>
      </c>
      <c r="D7" s="2">
        <v>300</v>
      </c>
      <c r="E7" s="2">
        <v>400</v>
      </c>
      <c r="F7">
        <v>4</v>
      </c>
      <c r="G7">
        <v>0</v>
      </c>
      <c r="H7">
        <f t="shared" si="0"/>
        <v>4</v>
      </c>
      <c r="I7" s="1">
        <v>44920</v>
      </c>
      <c r="J7" t="s">
        <v>6</v>
      </c>
    </row>
    <row r="8" spans="1:10" x14ac:dyDescent="0.25">
      <c r="A8" t="s">
        <v>8</v>
      </c>
      <c r="B8" t="s">
        <v>12</v>
      </c>
      <c r="C8" t="s">
        <v>55</v>
      </c>
      <c r="D8" s="2">
        <v>250</v>
      </c>
      <c r="E8" s="2">
        <v>350</v>
      </c>
      <c r="F8">
        <v>4</v>
      </c>
      <c r="G8">
        <v>0</v>
      </c>
      <c r="H8">
        <f t="shared" si="0"/>
        <v>4</v>
      </c>
      <c r="I8" s="1">
        <v>44920</v>
      </c>
      <c r="J8" t="s">
        <v>6</v>
      </c>
    </row>
    <row r="9" spans="1:10" x14ac:dyDescent="0.25">
      <c r="A9" t="s">
        <v>9</v>
      </c>
      <c r="B9" t="s">
        <v>12</v>
      </c>
      <c r="C9" t="s">
        <v>56</v>
      </c>
      <c r="D9" s="2">
        <v>250</v>
      </c>
      <c r="E9" s="2">
        <v>350</v>
      </c>
      <c r="F9">
        <v>3</v>
      </c>
      <c r="G9">
        <v>2</v>
      </c>
      <c r="H9">
        <f t="shared" si="0"/>
        <v>1</v>
      </c>
      <c r="I9" s="1">
        <v>44920</v>
      </c>
      <c r="J9" t="s">
        <v>6</v>
      </c>
    </row>
    <row r="10" spans="1:10" x14ac:dyDescent="0.25">
      <c r="A10" t="s">
        <v>13</v>
      </c>
      <c r="B10" t="s">
        <v>12</v>
      </c>
      <c r="C10" t="s">
        <v>57</v>
      </c>
      <c r="D10" s="2">
        <v>300</v>
      </c>
      <c r="E10" s="2">
        <v>450</v>
      </c>
      <c r="F10">
        <v>2</v>
      </c>
      <c r="G10">
        <v>1</v>
      </c>
      <c r="H10">
        <f t="shared" si="0"/>
        <v>1</v>
      </c>
      <c r="I10" s="1">
        <v>44920</v>
      </c>
      <c r="J10" t="s">
        <v>6</v>
      </c>
    </row>
    <row r="11" spans="1:10" x14ac:dyDescent="0.25">
      <c r="A11" t="s">
        <v>14</v>
      </c>
      <c r="B11" t="s">
        <v>16</v>
      </c>
      <c r="C11" t="s">
        <v>50</v>
      </c>
      <c r="D11" s="2">
        <v>320</v>
      </c>
      <c r="E11" s="2">
        <v>400</v>
      </c>
      <c r="F11">
        <v>6</v>
      </c>
      <c r="G11">
        <v>3</v>
      </c>
      <c r="H11">
        <f t="shared" si="0"/>
        <v>3</v>
      </c>
      <c r="I11" s="1">
        <v>44920</v>
      </c>
      <c r="J11" t="s">
        <v>6</v>
      </c>
    </row>
    <row r="12" spans="1:10" x14ac:dyDescent="0.25">
      <c r="A12" t="s">
        <v>15</v>
      </c>
      <c r="B12" t="s">
        <v>16</v>
      </c>
      <c r="C12" t="s">
        <v>58</v>
      </c>
      <c r="D12" s="2">
        <v>100</v>
      </c>
      <c r="E12" s="2">
        <v>150</v>
      </c>
      <c r="F12">
        <v>10</v>
      </c>
      <c r="G12">
        <v>0</v>
      </c>
      <c r="H12">
        <f t="shared" si="0"/>
        <v>10</v>
      </c>
      <c r="I12" s="1">
        <v>44920</v>
      </c>
      <c r="J12" t="s">
        <v>6</v>
      </c>
    </row>
    <row r="13" spans="1:10" x14ac:dyDescent="0.25">
      <c r="A13" t="s">
        <v>2</v>
      </c>
      <c r="B13" t="s">
        <v>21</v>
      </c>
      <c r="C13" t="s">
        <v>51</v>
      </c>
      <c r="D13" s="2">
        <v>25</v>
      </c>
      <c r="E13" s="2">
        <v>40</v>
      </c>
      <c r="F13">
        <v>32</v>
      </c>
      <c r="G13">
        <v>0</v>
      </c>
      <c r="H13">
        <f t="shared" si="0"/>
        <v>32</v>
      </c>
      <c r="I13" s="1">
        <v>44920</v>
      </c>
      <c r="J13" t="s">
        <v>6</v>
      </c>
    </row>
    <row r="14" spans="1:10" x14ac:dyDescent="0.25">
      <c r="A14" t="s">
        <v>7</v>
      </c>
      <c r="B14" t="s">
        <v>21</v>
      </c>
      <c r="C14" t="s">
        <v>59</v>
      </c>
      <c r="D14" s="2">
        <v>30</v>
      </c>
      <c r="E14" s="2">
        <v>50</v>
      </c>
      <c r="F14">
        <v>24</v>
      </c>
      <c r="G14">
        <v>14</v>
      </c>
      <c r="H14">
        <f t="shared" si="0"/>
        <v>10</v>
      </c>
      <c r="I14" s="1">
        <v>44920</v>
      </c>
      <c r="J14" t="s">
        <v>6</v>
      </c>
    </row>
    <row r="15" spans="1:10" x14ac:dyDescent="0.25">
      <c r="A15" t="s">
        <v>9</v>
      </c>
      <c r="B15" t="s">
        <v>21</v>
      </c>
      <c r="C15" t="s">
        <v>60</v>
      </c>
      <c r="D15" s="2">
        <v>25</v>
      </c>
      <c r="E15" s="2">
        <v>40</v>
      </c>
      <c r="F15">
        <v>12</v>
      </c>
      <c r="G15">
        <v>0</v>
      </c>
      <c r="H15">
        <f t="shared" si="0"/>
        <v>12</v>
      </c>
      <c r="I15" s="1">
        <v>44920</v>
      </c>
      <c r="J15" t="s">
        <v>6</v>
      </c>
    </row>
    <row r="16" spans="1:10" x14ac:dyDescent="0.25">
      <c r="A16" t="s">
        <v>23</v>
      </c>
      <c r="B16" t="s">
        <v>21</v>
      </c>
      <c r="C16" t="s">
        <v>61</v>
      </c>
      <c r="D16" s="2">
        <v>25</v>
      </c>
      <c r="E16" s="2">
        <v>40</v>
      </c>
      <c r="F16">
        <v>22</v>
      </c>
      <c r="G16">
        <v>0</v>
      </c>
      <c r="H16">
        <f t="shared" si="0"/>
        <v>22</v>
      </c>
      <c r="I16" s="1">
        <v>44920</v>
      </c>
      <c r="J16" t="s">
        <v>6</v>
      </c>
    </row>
    <row r="17" spans="1:10" x14ac:dyDescent="0.25">
      <c r="A17" t="s">
        <v>13</v>
      </c>
      <c r="B17" t="s">
        <v>21</v>
      </c>
      <c r="C17" t="s">
        <v>62</v>
      </c>
      <c r="D17" s="2">
        <v>30</v>
      </c>
      <c r="E17" s="2">
        <v>55</v>
      </c>
      <c r="F17">
        <v>20</v>
      </c>
      <c r="G17">
        <v>1</v>
      </c>
      <c r="H17">
        <f t="shared" si="0"/>
        <v>19</v>
      </c>
      <c r="I17" s="1">
        <v>44920</v>
      </c>
      <c r="J17" t="s">
        <v>6</v>
      </c>
    </row>
    <row r="18" spans="1:10" x14ac:dyDescent="0.25">
      <c r="A18" t="s">
        <v>17</v>
      </c>
      <c r="B18" t="s">
        <v>21</v>
      </c>
      <c r="C18" t="s">
        <v>63</v>
      </c>
      <c r="D18" s="2">
        <v>40</v>
      </c>
      <c r="E18" s="2">
        <v>65</v>
      </c>
      <c r="F18">
        <v>8</v>
      </c>
      <c r="G18">
        <v>2</v>
      </c>
      <c r="H18">
        <f t="shared" si="0"/>
        <v>6</v>
      </c>
      <c r="I18" s="1">
        <v>44920</v>
      </c>
      <c r="J18" t="s">
        <v>6</v>
      </c>
    </row>
    <row r="19" spans="1:10" x14ac:dyDescent="0.25">
      <c r="A19" t="s">
        <v>34</v>
      </c>
      <c r="B19" t="s">
        <v>21</v>
      </c>
      <c r="C19" t="s">
        <v>64</v>
      </c>
      <c r="D19" s="2">
        <v>50</v>
      </c>
      <c r="E19" s="2">
        <v>70</v>
      </c>
      <c r="F19">
        <v>0</v>
      </c>
      <c r="G19">
        <v>0</v>
      </c>
      <c r="H19">
        <f t="shared" si="0"/>
        <v>0</v>
      </c>
      <c r="I19" s="1">
        <v>44920</v>
      </c>
      <c r="J19" t="s">
        <v>6</v>
      </c>
    </row>
    <row r="20" spans="1:10" x14ac:dyDescent="0.25">
      <c r="A20" t="s">
        <v>18</v>
      </c>
      <c r="B20" t="s">
        <v>21</v>
      </c>
      <c r="C20" t="s">
        <v>65</v>
      </c>
      <c r="D20" s="2">
        <v>20</v>
      </c>
      <c r="E20" s="2">
        <v>30</v>
      </c>
      <c r="F20">
        <v>45</v>
      </c>
      <c r="G20">
        <v>27</v>
      </c>
      <c r="H20">
        <f t="shared" si="0"/>
        <v>18</v>
      </c>
      <c r="I20" s="1">
        <v>44920</v>
      </c>
      <c r="J20" t="s">
        <v>6</v>
      </c>
    </row>
    <row r="21" spans="1:10" x14ac:dyDescent="0.25">
      <c r="A21" t="s">
        <v>19</v>
      </c>
      <c r="B21" t="s">
        <v>21</v>
      </c>
      <c r="C21" t="s">
        <v>66</v>
      </c>
      <c r="D21" s="2">
        <v>10</v>
      </c>
      <c r="E21" s="2">
        <v>20</v>
      </c>
      <c r="F21">
        <v>0</v>
      </c>
      <c r="G21">
        <v>0</v>
      </c>
      <c r="H21">
        <f t="shared" si="0"/>
        <v>0</v>
      </c>
      <c r="I21" s="1">
        <v>44920</v>
      </c>
      <c r="J21" t="s">
        <v>6</v>
      </c>
    </row>
    <row r="22" spans="1:10" x14ac:dyDescent="0.25">
      <c r="A22" t="s">
        <v>20</v>
      </c>
      <c r="B22" t="s">
        <v>21</v>
      </c>
      <c r="C22" t="s">
        <v>67</v>
      </c>
      <c r="D22" s="2">
        <v>60</v>
      </c>
      <c r="E22" s="2">
        <v>100</v>
      </c>
      <c r="F22">
        <v>7</v>
      </c>
      <c r="G22">
        <v>5</v>
      </c>
      <c r="H22">
        <f t="shared" si="0"/>
        <v>2</v>
      </c>
      <c r="I22" s="1">
        <v>44920</v>
      </c>
      <c r="J22" t="s">
        <v>6</v>
      </c>
    </row>
    <row r="23" spans="1:10" x14ac:dyDescent="0.25">
      <c r="A23" t="s">
        <v>22</v>
      </c>
      <c r="B23" t="s">
        <v>24</v>
      </c>
      <c r="C23" t="s">
        <v>68</v>
      </c>
      <c r="D23" s="2">
        <v>50</v>
      </c>
      <c r="E23" s="2">
        <v>70</v>
      </c>
      <c r="F23">
        <v>7</v>
      </c>
      <c r="G23">
        <v>6</v>
      </c>
      <c r="H23">
        <f t="shared" si="0"/>
        <v>1</v>
      </c>
      <c r="I23" s="1">
        <v>44920</v>
      </c>
      <c r="J23" t="s">
        <v>6</v>
      </c>
    </row>
    <row r="24" spans="1:10" x14ac:dyDescent="0.25">
      <c r="A24" t="s">
        <v>25</v>
      </c>
      <c r="B24" t="s">
        <v>24</v>
      </c>
      <c r="C24" t="s">
        <v>69</v>
      </c>
      <c r="D24" s="2">
        <v>45</v>
      </c>
      <c r="E24" s="2">
        <v>65</v>
      </c>
      <c r="F24">
        <v>3</v>
      </c>
      <c r="G24">
        <v>3</v>
      </c>
      <c r="H24">
        <f t="shared" si="0"/>
        <v>0</v>
      </c>
      <c r="I24" s="1">
        <v>44920</v>
      </c>
      <c r="J24" t="s">
        <v>6</v>
      </c>
    </row>
    <row r="25" spans="1:10" x14ac:dyDescent="0.25">
      <c r="A25" t="s">
        <v>26</v>
      </c>
      <c r="B25" t="s">
        <v>24</v>
      </c>
      <c r="C25" t="s">
        <v>70</v>
      </c>
      <c r="D25" s="2">
        <v>50</v>
      </c>
      <c r="E25" s="2">
        <v>70</v>
      </c>
      <c r="F25">
        <v>4</v>
      </c>
      <c r="G25">
        <v>3</v>
      </c>
      <c r="H25">
        <f t="shared" si="0"/>
        <v>1</v>
      </c>
      <c r="I25" s="1">
        <v>44920</v>
      </c>
      <c r="J25" t="s">
        <v>6</v>
      </c>
    </row>
    <row r="26" spans="1:10" x14ac:dyDescent="0.25">
      <c r="A26" t="s">
        <v>27</v>
      </c>
      <c r="B26" t="s">
        <v>24</v>
      </c>
      <c r="C26" t="s">
        <v>71</v>
      </c>
      <c r="D26" s="2">
        <v>10</v>
      </c>
      <c r="E26" s="2">
        <v>15</v>
      </c>
      <c r="F26">
        <v>15</v>
      </c>
      <c r="G26">
        <v>0</v>
      </c>
      <c r="H26">
        <f t="shared" si="0"/>
        <v>15</v>
      </c>
      <c r="I26" s="1">
        <v>44920</v>
      </c>
      <c r="J26" t="s">
        <v>6</v>
      </c>
    </row>
    <row r="27" spans="1:10" x14ac:dyDescent="0.25">
      <c r="A27" t="s">
        <v>28</v>
      </c>
      <c r="B27" t="s">
        <v>24</v>
      </c>
      <c r="C27" t="s">
        <v>72</v>
      </c>
      <c r="D27" s="2">
        <v>20</v>
      </c>
      <c r="E27" s="2">
        <v>25</v>
      </c>
      <c r="F27">
        <v>10</v>
      </c>
      <c r="G27">
        <v>4</v>
      </c>
      <c r="H27">
        <f t="shared" si="0"/>
        <v>6</v>
      </c>
      <c r="I27" s="1">
        <v>44920</v>
      </c>
      <c r="J27" t="s">
        <v>6</v>
      </c>
    </row>
    <row r="28" spans="1:10" x14ac:dyDescent="0.25">
      <c r="A28" t="s">
        <v>29</v>
      </c>
      <c r="B28" t="s">
        <v>30</v>
      </c>
      <c r="C28" t="s">
        <v>73</v>
      </c>
      <c r="D28" s="2">
        <v>25</v>
      </c>
      <c r="E28" s="2">
        <v>30</v>
      </c>
      <c r="F28">
        <v>19</v>
      </c>
      <c r="G28">
        <v>7</v>
      </c>
      <c r="H28">
        <f t="shared" si="0"/>
        <v>12</v>
      </c>
      <c r="I28" s="1">
        <v>44920</v>
      </c>
      <c r="J28" t="s">
        <v>6</v>
      </c>
    </row>
    <row r="29" spans="1:10" x14ac:dyDescent="0.25">
      <c r="A29" t="s">
        <v>31</v>
      </c>
      <c r="B29" t="s">
        <v>30</v>
      </c>
      <c r="C29" t="s">
        <v>74</v>
      </c>
      <c r="D29" s="2">
        <v>25</v>
      </c>
      <c r="E29" s="2">
        <v>30</v>
      </c>
      <c r="F29">
        <v>10</v>
      </c>
      <c r="G29">
        <v>10</v>
      </c>
      <c r="H29">
        <f t="shared" si="0"/>
        <v>0</v>
      </c>
      <c r="I29" s="1">
        <v>44920</v>
      </c>
      <c r="J29" t="s">
        <v>6</v>
      </c>
    </row>
    <row r="30" spans="1:10" x14ac:dyDescent="0.25">
      <c r="A30" t="s">
        <v>32</v>
      </c>
      <c r="B30" t="s">
        <v>30</v>
      </c>
      <c r="C30" t="s">
        <v>75</v>
      </c>
      <c r="D30" s="2">
        <v>25</v>
      </c>
      <c r="E30" s="2">
        <v>30</v>
      </c>
      <c r="F30">
        <v>12</v>
      </c>
      <c r="G30">
        <v>5</v>
      </c>
      <c r="H30">
        <f t="shared" si="0"/>
        <v>7</v>
      </c>
      <c r="I30" s="1">
        <v>44920</v>
      </c>
      <c r="J30" t="s">
        <v>6</v>
      </c>
    </row>
    <row r="31" spans="1:10" x14ac:dyDescent="0.25">
      <c r="A31" t="s">
        <v>33</v>
      </c>
      <c r="B31" t="s">
        <v>30</v>
      </c>
      <c r="C31" t="s">
        <v>76</v>
      </c>
      <c r="D31" s="2">
        <v>30</v>
      </c>
      <c r="E31" s="2">
        <v>35</v>
      </c>
      <c r="F31">
        <v>8</v>
      </c>
      <c r="G31">
        <v>4</v>
      </c>
      <c r="H31">
        <f t="shared" si="0"/>
        <v>4</v>
      </c>
      <c r="I31" s="1">
        <v>44920</v>
      </c>
      <c r="J31" t="s">
        <v>6</v>
      </c>
    </row>
    <row r="32" spans="1:10" x14ac:dyDescent="0.25">
      <c r="A32" t="s">
        <v>2</v>
      </c>
      <c r="B32" t="s">
        <v>3</v>
      </c>
      <c r="C32" t="s">
        <v>48</v>
      </c>
      <c r="D32" s="2">
        <v>100</v>
      </c>
      <c r="E32" s="2">
        <v>200</v>
      </c>
      <c r="F32">
        <v>4</v>
      </c>
      <c r="G32">
        <v>3</v>
      </c>
      <c r="H32">
        <f t="shared" si="0"/>
        <v>1</v>
      </c>
      <c r="I32" s="1">
        <v>44921</v>
      </c>
      <c r="J32" t="s">
        <v>10</v>
      </c>
    </row>
    <row r="33" spans="1:10" x14ac:dyDescent="0.25">
      <c r="A33" t="s">
        <v>7</v>
      </c>
      <c r="B33" t="s">
        <v>3</v>
      </c>
      <c r="C33" t="s">
        <v>77</v>
      </c>
      <c r="D33" s="2">
        <v>200</v>
      </c>
      <c r="E33" s="2">
        <v>300</v>
      </c>
      <c r="F33">
        <v>2</v>
      </c>
      <c r="G33">
        <v>0</v>
      </c>
      <c r="H33">
        <f t="shared" si="0"/>
        <v>2</v>
      </c>
      <c r="I33" s="1">
        <v>44921</v>
      </c>
      <c r="J33" t="s">
        <v>10</v>
      </c>
    </row>
    <row r="34" spans="1:10" x14ac:dyDescent="0.25">
      <c r="A34" t="s">
        <v>23</v>
      </c>
      <c r="B34" t="s">
        <v>3</v>
      </c>
      <c r="C34" t="s">
        <v>52</v>
      </c>
      <c r="D34" s="2">
        <v>150</v>
      </c>
      <c r="E34" s="2">
        <v>250</v>
      </c>
      <c r="F34">
        <v>1</v>
      </c>
      <c r="G34">
        <v>0</v>
      </c>
      <c r="H34">
        <f t="shared" si="0"/>
        <v>1</v>
      </c>
      <c r="I34" s="1">
        <v>44921</v>
      </c>
      <c r="J34" t="s">
        <v>10</v>
      </c>
    </row>
    <row r="35" spans="1:10" x14ac:dyDescent="0.25">
      <c r="A35" t="s">
        <v>9</v>
      </c>
      <c r="B35" t="s">
        <v>3</v>
      </c>
      <c r="C35" t="s">
        <v>53</v>
      </c>
      <c r="D35" s="2">
        <v>100</v>
      </c>
      <c r="E35" s="2">
        <v>200</v>
      </c>
      <c r="F35">
        <v>2</v>
      </c>
      <c r="G35">
        <v>1</v>
      </c>
      <c r="H35">
        <f t="shared" si="0"/>
        <v>1</v>
      </c>
      <c r="I35" s="1">
        <v>44921</v>
      </c>
      <c r="J35" t="s">
        <v>10</v>
      </c>
    </row>
    <row r="36" spans="1:10" x14ac:dyDescent="0.25">
      <c r="A36" t="s">
        <v>2</v>
      </c>
      <c r="B36" t="s">
        <v>12</v>
      </c>
      <c r="C36" t="s">
        <v>49</v>
      </c>
      <c r="D36" s="2">
        <v>250</v>
      </c>
      <c r="E36" s="2">
        <v>350</v>
      </c>
      <c r="F36">
        <v>3</v>
      </c>
      <c r="G36">
        <v>1</v>
      </c>
      <c r="H36">
        <f t="shared" si="0"/>
        <v>2</v>
      </c>
      <c r="I36" s="1">
        <v>44921</v>
      </c>
      <c r="J36" t="s">
        <v>10</v>
      </c>
    </row>
    <row r="37" spans="1:10" x14ac:dyDescent="0.25">
      <c r="A37" t="s">
        <v>7</v>
      </c>
      <c r="B37" t="s">
        <v>12</v>
      </c>
      <c r="C37" t="s">
        <v>54</v>
      </c>
      <c r="D37" s="2">
        <v>300</v>
      </c>
      <c r="E37" s="2">
        <v>400</v>
      </c>
      <c r="F37">
        <v>1</v>
      </c>
      <c r="G37">
        <v>0</v>
      </c>
      <c r="H37">
        <f t="shared" si="0"/>
        <v>1</v>
      </c>
      <c r="I37" s="1">
        <v>44921</v>
      </c>
      <c r="J37" t="s">
        <v>10</v>
      </c>
    </row>
    <row r="38" spans="1:10" x14ac:dyDescent="0.25">
      <c r="A38" t="s">
        <v>8</v>
      </c>
      <c r="B38" t="s">
        <v>12</v>
      </c>
      <c r="C38" t="s">
        <v>55</v>
      </c>
      <c r="D38" s="2">
        <v>250</v>
      </c>
      <c r="E38" s="2">
        <v>350</v>
      </c>
      <c r="F38">
        <v>3</v>
      </c>
      <c r="G38">
        <v>1</v>
      </c>
      <c r="H38">
        <f t="shared" si="0"/>
        <v>2</v>
      </c>
      <c r="I38" s="1">
        <v>44921</v>
      </c>
      <c r="J38" t="s">
        <v>10</v>
      </c>
    </row>
    <row r="39" spans="1:10" x14ac:dyDescent="0.25">
      <c r="A39" t="s">
        <v>9</v>
      </c>
      <c r="B39" t="s">
        <v>12</v>
      </c>
      <c r="C39" t="s">
        <v>56</v>
      </c>
      <c r="D39" s="2">
        <v>250</v>
      </c>
      <c r="E39" s="2">
        <v>350</v>
      </c>
      <c r="F39">
        <v>2</v>
      </c>
      <c r="G39">
        <v>1</v>
      </c>
      <c r="H39">
        <f t="shared" si="0"/>
        <v>1</v>
      </c>
      <c r="I39" s="1">
        <v>44921</v>
      </c>
      <c r="J39" t="s">
        <v>10</v>
      </c>
    </row>
    <row r="40" spans="1:10" x14ac:dyDescent="0.25">
      <c r="A40" t="s">
        <v>13</v>
      </c>
      <c r="B40" t="s">
        <v>12</v>
      </c>
      <c r="C40" t="s">
        <v>57</v>
      </c>
      <c r="D40" s="2">
        <v>300</v>
      </c>
      <c r="E40" s="2">
        <v>450</v>
      </c>
      <c r="F40">
        <v>3</v>
      </c>
      <c r="G40">
        <v>0</v>
      </c>
      <c r="H40">
        <f t="shared" si="0"/>
        <v>3</v>
      </c>
      <c r="I40" s="1">
        <v>44921</v>
      </c>
      <c r="J40" t="s">
        <v>10</v>
      </c>
    </row>
    <row r="41" spans="1:10" x14ac:dyDescent="0.25">
      <c r="A41" t="s">
        <v>14</v>
      </c>
      <c r="B41" t="s">
        <v>16</v>
      </c>
      <c r="C41" t="s">
        <v>50</v>
      </c>
      <c r="D41" s="2">
        <v>320</v>
      </c>
      <c r="E41" s="2">
        <v>400</v>
      </c>
      <c r="F41">
        <v>3</v>
      </c>
      <c r="G41">
        <v>2</v>
      </c>
      <c r="H41">
        <f t="shared" si="0"/>
        <v>1</v>
      </c>
      <c r="I41" s="1">
        <v>44921</v>
      </c>
      <c r="J41" t="s">
        <v>10</v>
      </c>
    </row>
    <row r="42" spans="1:10" x14ac:dyDescent="0.25">
      <c r="A42" t="s">
        <v>15</v>
      </c>
      <c r="B42" t="s">
        <v>16</v>
      </c>
      <c r="C42" t="s">
        <v>58</v>
      </c>
      <c r="D42" s="2">
        <v>100</v>
      </c>
      <c r="E42" s="2">
        <v>150</v>
      </c>
      <c r="F42">
        <v>0</v>
      </c>
      <c r="G42">
        <v>0</v>
      </c>
      <c r="H42">
        <f t="shared" si="0"/>
        <v>0</v>
      </c>
      <c r="I42" s="1">
        <v>44921</v>
      </c>
      <c r="J42" t="s">
        <v>10</v>
      </c>
    </row>
    <row r="43" spans="1:10" x14ac:dyDescent="0.25">
      <c r="A43" t="s">
        <v>2</v>
      </c>
      <c r="B43" t="s">
        <v>21</v>
      </c>
      <c r="C43" t="s">
        <v>51</v>
      </c>
      <c r="D43" s="2">
        <v>25</v>
      </c>
      <c r="E43" s="2">
        <v>40</v>
      </c>
      <c r="F43">
        <v>10</v>
      </c>
      <c r="G43">
        <v>5</v>
      </c>
      <c r="H43">
        <f t="shared" si="0"/>
        <v>5</v>
      </c>
      <c r="I43" s="1">
        <v>44921</v>
      </c>
      <c r="J43" t="s">
        <v>10</v>
      </c>
    </row>
    <row r="44" spans="1:10" x14ac:dyDescent="0.25">
      <c r="A44" t="s">
        <v>7</v>
      </c>
      <c r="B44" t="s">
        <v>21</v>
      </c>
      <c r="C44" t="s">
        <v>59</v>
      </c>
      <c r="D44" s="2">
        <v>30</v>
      </c>
      <c r="E44" s="2">
        <v>50</v>
      </c>
      <c r="F44">
        <v>14</v>
      </c>
      <c r="G44">
        <v>6</v>
      </c>
      <c r="H44">
        <f t="shared" si="0"/>
        <v>8</v>
      </c>
      <c r="I44" s="1">
        <v>44921</v>
      </c>
      <c r="J44" t="s">
        <v>10</v>
      </c>
    </row>
    <row r="45" spans="1:10" x14ac:dyDescent="0.25">
      <c r="A45" t="s">
        <v>9</v>
      </c>
      <c r="B45" t="s">
        <v>21</v>
      </c>
      <c r="C45" t="s">
        <v>60</v>
      </c>
      <c r="D45" s="2">
        <v>25</v>
      </c>
      <c r="E45" s="2">
        <v>40</v>
      </c>
      <c r="F45">
        <v>10</v>
      </c>
      <c r="G45">
        <v>7</v>
      </c>
      <c r="H45">
        <f t="shared" si="0"/>
        <v>3</v>
      </c>
      <c r="I45" s="1">
        <v>44921</v>
      </c>
      <c r="J45" t="s">
        <v>10</v>
      </c>
    </row>
    <row r="46" spans="1:10" x14ac:dyDescent="0.25">
      <c r="A46" t="s">
        <v>23</v>
      </c>
      <c r="B46" t="s">
        <v>21</v>
      </c>
      <c r="C46" t="s">
        <v>61</v>
      </c>
      <c r="D46" s="2">
        <v>25</v>
      </c>
      <c r="E46" s="2">
        <v>40</v>
      </c>
      <c r="F46">
        <v>12</v>
      </c>
      <c r="G46">
        <v>5</v>
      </c>
      <c r="H46">
        <f t="shared" si="0"/>
        <v>7</v>
      </c>
      <c r="I46" s="1">
        <v>44921</v>
      </c>
      <c r="J46" t="s">
        <v>10</v>
      </c>
    </row>
    <row r="47" spans="1:10" x14ac:dyDescent="0.25">
      <c r="A47" t="s">
        <v>13</v>
      </c>
      <c r="B47" t="s">
        <v>21</v>
      </c>
      <c r="C47" t="s">
        <v>62</v>
      </c>
      <c r="D47" s="2">
        <v>30</v>
      </c>
      <c r="E47" s="2">
        <v>55</v>
      </c>
      <c r="F47">
        <v>9</v>
      </c>
      <c r="G47">
        <v>8</v>
      </c>
      <c r="H47">
        <f t="shared" si="0"/>
        <v>1</v>
      </c>
      <c r="I47" s="1">
        <v>44921</v>
      </c>
      <c r="J47" t="s">
        <v>10</v>
      </c>
    </row>
    <row r="48" spans="1:10" x14ac:dyDescent="0.25">
      <c r="A48" t="s">
        <v>17</v>
      </c>
      <c r="B48" t="s">
        <v>21</v>
      </c>
      <c r="C48" t="s">
        <v>63</v>
      </c>
      <c r="D48" s="2">
        <v>40</v>
      </c>
      <c r="E48" s="2">
        <v>65</v>
      </c>
      <c r="F48">
        <v>12</v>
      </c>
      <c r="G48">
        <v>2</v>
      </c>
      <c r="H48">
        <f t="shared" si="0"/>
        <v>10</v>
      </c>
      <c r="I48" s="1">
        <v>44921</v>
      </c>
      <c r="J48" t="s">
        <v>10</v>
      </c>
    </row>
    <row r="49" spans="1:10" x14ac:dyDescent="0.25">
      <c r="A49" t="s">
        <v>34</v>
      </c>
      <c r="B49" t="s">
        <v>21</v>
      </c>
      <c r="C49" t="s">
        <v>64</v>
      </c>
      <c r="D49" s="2">
        <v>50</v>
      </c>
      <c r="E49" s="2">
        <v>70</v>
      </c>
      <c r="F49">
        <v>0</v>
      </c>
      <c r="G49">
        <v>0</v>
      </c>
      <c r="H49">
        <f t="shared" si="0"/>
        <v>0</v>
      </c>
      <c r="I49" s="1">
        <v>44921</v>
      </c>
      <c r="J49" t="s">
        <v>10</v>
      </c>
    </row>
    <row r="50" spans="1:10" x14ac:dyDescent="0.25">
      <c r="A50" t="s">
        <v>18</v>
      </c>
      <c r="B50" t="s">
        <v>21</v>
      </c>
      <c r="C50" t="s">
        <v>65</v>
      </c>
      <c r="D50" s="2">
        <v>20</v>
      </c>
      <c r="E50" s="2">
        <v>30</v>
      </c>
      <c r="F50">
        <v>27</v>
      </c>
      <c r="G50">
        <v>22</v>
      </c>
      <c r="H50">
        <f t="shared" si="0"/>
        <v>5</v>
      </c>
      <c r="I50" s="1">
        <v>44921</v>
      </c>
      <c r="J50" t="s">
        <v>10</v>
      </c>
    </row>
    <row r="51" spans="1:10" x14ac:dyDescent="0.25">
      <c r="A51" t="s">
        <v>19</v>
      </c>
      <c r="B51" t="s">
        <v>21</v>
      </c>
      <c r="C51" t="s">
        <v>66</v>
      </c>
      <c r="D51" s="2">
        <v>10</v>
      </c>
      <c r="E51" s="2">
        <v>20</v>
      </c>
      <c r="F51">
        <v>0</v>
      </c>
      <c r="G51">
        <v>0</v>
      </c>
      <c r="H51">
        <f t="shared" si="0"/>
        <v>0</v>
      </c>
      <c r="I51" s="1">
        <v>44921</v>
      </c>
      <c r="J51" t="s">
        <v>10</v>
      </c>
    </row>
    <row r="52" spans="1:10" x14ac:dyDescent="0.25">
      <c r="A52" t="s">
        <v>20</v>
      </c>
      <c r="B52" t="s">
        <v>21</v>
      </c>
      <c r="C52" t="s">
        <v>67</v>
      </c>
      <c r="D52" s="2">
        <v>60</v>
      </c>
      <c r="E52" s="2">
        <v>100</v>
      </c>
      <c r="F52">
        <v>5</v>
      </c>
      <c r="G52">
        <v>5</v>
      </c>
      <c r="H52">
        <f t="shared" si="0"/>
        <v>0</v>
      </c>
      <c r="I52" s="1">
        <v>44921</v>
      </c>
      <c r="J52" t="s">
        <v>10</v>
      </c>
    </row>
    <row r="53" spans="1:10" x14ac:dyDescent="0.25">
      <c r="A53" t="s">
        <v>22</v>
      </c>
      <c r="B53" t="s">
        <v>24</v>
      </c>
      <c r="C53" t="s">
        <v>68</v>
      </c>
      <c r="D53" s="2">
        <v>50</v>
      </c>
      <c r="E53" s="2">
        <v>70</v>
      </c>
      <c r="F53">
        <v>6</v>
      </c>
      <c r="G53">
        <v>6</v>
      </c>
      <c r="H53">
        <f t="shared" si="0"/>
        <v>0</v>
      </c>
      <c r="I53" s="1">
        <v>44921</v>
      </c>
      <c r="J53" t="s">
        <v>10</v>
      </c>
    </row>
    <row r="54" spans="1:10" x14ac:dyDescent="0.25">
      <c r="A54" t="s">
        <v>25</v>
      </c>
      <c r="B54" t="s">
        <v>24</v>
      </c>
      <c r="C54" t="s">
        <v>69</v>
      </c>
      <c r="D54" s="2">
        <v>45</v>
      </c>
      <c r="E54" s="2">
        <v>65</v>
      </c>
      <c r="F54">
        <v>4</v>
      </c>
      <c r="G54">
        <v>4</v>
      </c>
      <c r="H54">
        <f t="shared" si="0"/>
        <v>0</v>
      </c>
      <c r="I54" s="1">
        <v>44921</v>
      </c>
      <c r="J54" t="s">
        <v>10</v>
      </c>
    </row>
    <row r="55" spans="1:10" x14ac:dyDescent="0.25">
      <c r="A55" t="s">
        <v>26</v>
      </c>
      <c r="B55" t="s">
        <v>24</v>
      </c>
      <c r="C55" t="s">
        <v>70</v>
      </c>
      <c r="D55" s="2">
        <v>50</v>
      </c>
      <c r="E55" s="2">
        <v>70</v>
      </c>
      <c r="F55">
        <v>3</v>
      </c>
      <c r="G55">
        <v>3</v>
      </c>
      <c r="H55">
        <f t="shared" si="0"/>
        <v>0</v>
      </c>
      <c r="I55" s="1">
        <v>44921</v>
      </c>
      <c r="J55" t="s">
        <v>10</v>
      </c>
    </row>
    <row r="56" spans="1:10" x14ac:dyDescent="0.25">
      <c r="A56" t="s">
        <v>27</v>
      </c>
      <c r="B56" t="s">
        <v>24</v>
      </c>
      <c r="C56" t="s">
        <v>71</v>
      </c>
      <c r="D56" s="2">
        <v>10</v>
      </c>
      <c r="E56" s="2">
        <v>15</v>
      </c>
      <c r="F56">
        <v>10</v>
      </c>
      <c r="G56">
        <v>8</v>
      </c>
      <c r="H56">
        <f t="shared" si="0"/>
        <v>2</v>
      </c>
      <c r="I56" s="1">
        <v>44921</v>
      </c>
      <c r="J56" t="s">
        <v>10</v>
      </c>
    </row>
    <row r="57" spans="1:10" x14ac:dyDescent="0.25">
      <c r="A57" t="s">
        <v>28</v>
      </c>
      <c r="B57" t="s">
        <v>24</v>
      </c>
      <c r="C57" t="s">
        <v>72</v>
      </c>
      <c r="D57" s="2">
        <v>20</v>
      </c>
      <c r="E57" s="2">
        <v>25</v>
      </c>
      <c r="F57">
        <v>11</v>
      </c>
      <c r="G57">
        <v>7</v>
      </c>
      <c r="H57">
        <f t="shared" si="0"/>
        <v>4</v>
      </c>
      <c r="I57" s="1">
        <v>44921</v>
      </c>
      <c r="J57" t="s">
        <v>10</v>
      </c>
    </row>
    <row r="58" spans="1:10" x14ac:dyDescent="0.25">
      <c r="A58" t="s">
        <v>29</v>
      </c>
      <c r="B58" t="s">
        <v>30</v>
      </c>
      <c r="C58" t="s">
        <v>73</v>
      </c>
      <c r="D58" s="2">
        <v>25</v>
      </c>
      <c r="E58" s="2">
        <v>30</v>
      </c>
      <c r="F58">
        <v>7</v>
      </c>
      <c r="G58">
        <v>0</v>
      </c>
      <c r="H58">
        <f t="shared" si="0"/>
        <v>7</v>
      </c>
      <c r="I58" s="1">
        <v>44921</v>
      </c>
      <c r="J58" t="s">
        <v>10</v>
      </c>
    </row>
    <row r="59" spans="1:10" x14ac:dyDescent="0.25">
      <c r="A59" t="s">
        <v>31</v>
      </c>
      <c r="B59" t="s">
        <v>30</v>
      </c>
      <c r="C59" t="s">
        <v>74</v>
      </c>
      <c r="D59" s="2">
        <v>25</v>
      </c>
      <c r="E59" s="2">
        <v>30</v>
      </c>
      <c r="F59">
        <v>10</v>
      </c>
      <c r="G59">
        <v>4</v>
      </c>
      <c r="H59">
        <f t="shared" si="0"/>
        <v>6</v>
      </c>
      <c r="I59" s="1">
        <v>44921</v>
      </c>
      <c r="J59" t="s">
        <v>10</v>
      </c>
    </row>
    <row r="60" spans="1:10" x14ac:dyDescent="0.25">
      <c r="A60" t="s">
        <v>32</v>
      </c>
      <c r="B60" t="s">
        <v>30</v>
      </c>
      <c r="C60" t="s">
        <v>75</v>
      </c>
      <c r="D60" s="2">
        <v>25</v>
      </c>
      <c r="E60" s="2">
        <v>30</v>
      </c>
      <c r="F60">
        <v>5</v>
      </c>
      <c r="G60">
        <v>0</v>
      </c>
      <c r="H60">
        <f t="shared" si="0"/>
        <v>5</v>
      </c>
      <c r="I60" s="1">
        <v>44921</v>
      </c>
      <c r="J60" t="s">
        <v>10</v>
      </c>
    </row>
    <row r="61" spans="1:10" x14ac:dyDescent="0.25">
      <c r="A61" t="s">
        <v>33</v>
      </c>
      <c r="B61" t="s">
        <v>30</v>
      </c>
      <c r="C61" t="s">
        <v>76</v>
      </c>
      <c r="D61" s="2">
        <v>30</v>
      </c>
      <c r="E61" s="2">
        <v>35</v>
      </c>
      <c r="F61">
        <v>4</v>
      </c>
      <c r="G61">
        <v>0</v>
      </c>
      <c r="H61">
        <f t="shared" si="0"/>
        <v>4</v>
      </c>
      <c r="I61" s="1">
        <v>44921</v>
      </c>
      <c r="J61" t="s">
        <v>10</v>
      </c>
    </row>
    <row r="62" spans="1:10" x14ac:dyDescent="0.25">
      <c r="A62" t="s">
        <v>2</v>
      </c>
      <c r="B62" t="s">
        <v>3</v>
      </c>
      <c r="C62" t="s">
        <v>48</v>
      </c>
      <c r="D62" s="2">
        <v>100</v>
      </c>
      <c r="E62" s="2">
        <v>200</v>
      </c>
      <c r="F62">
        <v>3</v>
      </c>
      <c r="G62">
        <v>2</v>
      </c>
      <c r="H62">
        <f t="shared" si="0"/>
        <v>1</v>
      </c>
      <c r="I62" s="1">
        <v>44922</v>
      </c>
      <c r="J62" t="s">
        <v>11</v>
      </c>
    </row>
    <row r="63" spans="1:10" x14ac:dyDescent="0.25">
      <c r="A63" t="s">
        <v>7</v>
      </c>
      <c r="B63" t="s">
        <v>3</v>
      </c>
      <c r="C63" t="s">
        <v>77</v>
      </c>
      <c r="D63" s="2">
        <v>200</v>
      </c>
      <c r="E63" s="2">
        <v>300</v>
      </c>
      <c r="F63">
        <v>0</v>
      </c>
      <c r="G63">
        <v>0</v>
      </c>
      <c r="H63">
        <f t="shared" si="0"/>
        <v>0</v>
      </c>
      <c r="I63" s="1">
        <v>44922</v>
      </c>
      <c r="J63" t="s">
        <v>11</v>
      </c>
    </row>
    <row r="64" spans="1:10" x14ac:dyDescent="0.25">
      <c r="A64" t="s">
        <v>23</v>
      </c>
      <c r="B64" t="s">
        <v>3</v>
      </c>
      <c r="C64" t="s">
        <v>52</v>
      </c>
      <c r="D64" s="2">
        <v>150</v>
      </c>
      <c r="E64" s="2">
        <v>250</v>
      </c>
      <c r="F64">
        <v>0</v>
      </c>
      <c r="G64">
        <v>0</v>
      </c>
      <c r="H64">
        <f t="shared" si="0"/>
        <v>0</v>
      </c>
      <c r="I64" s="1">
        <v>44922</v>
      </c>
      <c r="J64" t="s">
        <v>11</v>
      </c>
    </row>
    <row r="65" spans="1:10" x14ac:dyDescent="0.25">
      <c r="A65" t="s">
        <v>9</v>
      </c>
      <c r="B65" t="s">
        <v>3</v>
      </c>
      <c r="C65" t="s">
        <v>53</v>
      </c>
      <c r="D65" s="2">
        <v>100</v>
      </c>
      <c r="E65" s="2">
        <v>200</v>
      </c>
      <c r="F65">
        <v>1</v>
      </c>
      <c r="G65">
        <v>1</v>
      </c>
      <c r="H65">
        <f t="shared" si="0"/>
        <v>0</v>
      </c>
      <c r="I65" s="1">
        <v>44922</v>
      </c>
      <c r="J65" t="s">
        <v>11</v>
      </c>
    </row>
    <row r="66" spans="1:10" x14ac:dyDescent="0.25">
      <c r="A66" t="s">
        <v>2</v>
      </c>
      <c r="B66" t="s">
        <v>12</v>
      </c>
      <c r="C66" t="s">
        <v>49</v>
      </c>
      <c r="D66" s="2">
        <v>250</v>
      </c>
      <c r="E66" s="2">
        <v>350</v>
      </c>
      <c r="F66">
        <v>1</v>
      </c>
      <c r="G66">
        <v>1</v>
      </c>
      <c r="H66">
        <f t="shared" si="0"/>
        <v>0</v>
      </c>
      <c r="I66" s="1">
        <v>44922</v>
      </c>
      <c r="J66" t="s">
        <v>11</v>
      </c>
    </row>
    <row r="67" spans="1:10" x14ac:dyDescent="0.25">
      <c r="A67" t="s">
        <v>7</v>
      </c>
      <c r="B67" t="s">
        <v>12</v>
      </c>
      <c r="C67" t="s">
        <v>54</v>
      </c>
      <c r="D67" s="2">
        <v>300</v>
      </c>
      <c r="E67" s="2">
        <v>400</v>
      </c>
      <c r="F67">
        <v>1</v>
      </c>
      <c r="G67">
        <v>1</v>
      </c>
      <c r="H67">
        <f t="shared" si="0"/>
        <v>0</v>
      </c>
      <c r="I67" s="1">
        <v>44922</v>
      </c>
      <c r="J67" t="s">
        <v>11</v>
      </c>
    </row>
    <row r="68" spans="1:10" x14ac:dyDescent="0.25">
      <c r="A68" t="s">
        <v>8</v>
      </c>
      <c r="B68" t="s">
        <v>12</v>
      </c>
      <c r="C68" t="s">
        <v>55</v>
      </c>
      <c r="D68" s="2">
        <v>250</v>
      </c>
      <c r="E68" s="2">
        <v>350</v>
      </c>
      <c r="F68">
        <v>2</v>
      </c>
      <c r="G68">
        <v>2</v>
      </c>
      <c r="H68">
        <f t="shared" si="0"/>
        <v>0</v>
      </c>
      <c r="I68" s="1">
        <v>44922</v>
      </c>
      <c r="J68" t="s">
        <v>11</v>
      </c>
    </row>
    <row r="69" spans="1:10" x14ac:dyDescent="0.25">
      <c r="A69" t="s">
        <v>9</v>
      </c>
      <c r="B69" t="s">
        <v>12</v>
      </c>
      <c r="C69" t="s">
        <v>56</v>
      </c>
      <c r="D69" s="2">
        <v>250</v>
      </c>
      <c r="E69" s="2">
        <v>350</v>
      </c>
      <c r="F69">
        <v>2</v>
      </c>
      <c r="G69">
        <v>1</v>
      </c>
      <c r="H69">
        <f t="shared" si="0"/>
        <v>1</v>
      </c>
      <c r="I69" s="1">
        <v>44922</v>
      </c>
      <c r="J69" t="s">
        <v>11</v>
      </c>
    </row>
    <row r="70" spans="1:10" x14ac:dyDescent="0.25">
      <c r="A70" t="s">
        <v>13</v>
      </c>
      <c r="B70" t="s">
        <v>12</v>
      </c>
      <c r="C70" t="s">
        <v>57</v>
      </c>
      <c r="D70" s="2">
        <v>300</v>
      </c>
      <c r="E70" s="2">
        <v>450</v>
      </c>
      <c r="F70">
        <v>0</v>
      </c>
      <c r="G70">
        <v>0</v>
      </c>
      <c r="H70">
        <f t="shared" si="0"/>
        <v>0</v>
      </c>
      <c r="I70" s="1">
        <v>44922</v>
      </c>
      <c r="J70" t="s">
        <v>11</v>
      </c>
    </row>
    <row r="71" spans="1:10" x14ac:dyDescent="0.25">
      <c r="A71" t="s">
        <v>14</v>
      </c>
      <c r="B71" t="s">
        <v>16</v>
      </c>
      <c r="C71" t="s">
        <v>50</v>
      </c>
      <c r="D71" s="2">
        <v>320</v>
      </c>
      <c r="E71" s="2">
        <v>400</v>
      </c>
      <c r="F71">
        <v>2</v>
      </c>
      <c r="G71">
        <v>2</v>
      </c>
      <c r="H71">
        <f t="shared" si="0"/>
        <v>0</v>
      </c>
      <c r="I71" s="1">
        <v>44922</v>
      </c>
      <c r="J71" t="s">
        <v>11</v>
      </c>
    </row>
    <row r="72" spans="1:10" x14ac:dyDescent="0.25">
      <c r="A72" t="s">
        <v>15</v>
      </c>
      <c r="B72" t="s">
        <v>16</v>
      </c>
      <c r="C72" t="s">
        <v>58</v>
      </c>
      <c r="D72" s="2">
        <v>100</v>
      </c>
      <c r="E72" s="2">
        <v>150</v>
      </c>
      <c r="F72">
        <v>0</v>
      </c>
      <c r="G72">
        <v>0</v>
      </c>
      <c r="H72">
        <f t="shared" si="0"/>
        <v>0</v>
      </c>
      <c r="I72" s="1">
        <v>44922</v>
      </c>
      <c r="J72" t="s">
        <v>11</v>
      </c>
    </row>
    <row r="73" spans="1:10" x14ac:dyDescent="0.25">
      <c r="A73" t="s">
        <v>2</v>
      </c>
      <c r="B73" t="s">
        <v>21</v>
      </c>
      <c r="C73" t="s">
        <v>51</v>
      </c>
      <c r="D73" s="2">
        <v>25</v>
      </c>
      <c r="E73" s="2">
        <v>40</v>
      </c>
      <c r="F73">
        <v>5</v>
      </c>
      <c r="G73">
        <v>4</v>
      </c>
      <c r="H73">
        <f t="shared" si="0"/>
        <v>1</v>
      </c>
      <c r="I73" s="1">
        <v>44922</v>
      </c>
      <c r="J73" t="s">
        <v>11</v>
      </c>
    </row>
    <row r="74" spans="1:10" x14ac:dyDescent="0.25">
      <c r="A74" t="s">
        <v>7</v>
      </c>
      <c r="B74" t="s">
        <v>21</v>
      </c>
      <c r="C74" t="s">
        <v>59</v>
      </c>
      <c r="D74" s="2">
        <v>30</v>
      </c>
      <c r="E74" s="2">
        <v>50</v>
      </c>
      <c r="F74">
        <v>6</v>
      </c>
      <c r="G74">
        <v>2</v>
      </c>
      <c r="H74">
        <f t="shared" si="0"/>
        <v>4</v>
      </c>
      <c r="I74" s="1">
        <v>44922</v>
      </c>
      <c r="J74" t="s">
        <v>11</v>
      </c>
    </row>
    <row r="75" spans="1:10" x14ac:dyDescent="0.25">
      <c r="A75" t="s">
        <v>9</v>
      </c>
      <c r="B75" t="s">
        <v>21</v>
      </c>
      <c r="C75" t="s">
        <v>60</v>
      </c>
      <c r="D75" s="2">
        <v>25</v>
      </c>
      <c r="E75" s="2">
        <v>40</v>
      </c>
      <c r="F75">
        <v>7</v>
      </c>
      <c r="G75">
        <v>4</v>
      </c>
      <c r="H75">
        <f t="shared" si="0"/>
        <v>3</v>
      </c>
      <c r="I75" s="1">
        <v>44922</v>
      </c>
      <c r="J75" t="s">
        <v>11</v>
      </c>
    </row>
    <row r="76" spans="1:10" x14ac:dyDescent="0.25">
      <c r="A76" t="s">
        <v>23</v>
      </c>
      <c r="B76" t="s">
        <v>21</v>
      </c>
      <c r="C76" t="s">
        <v>61</v>
      </c>
      <c r="D76" s="2">
        <v>25</v>
      </c>
      <c r="E76" s="2">
        <v>40</v>
      </c>
      <c r="F76">
        <v>5</v>
      </c>
      <c r="G76">
        <v>2</v>
      </c>
      <c r="H76">
        <f t="shared" si="0"/>
        <v>3</v>
      </c>
      <c r="I76" s="1">
        <v>44922</v>
      </c>
      <c r="J76" t="s">
        <v>11</v>
      </c>
    </row>
    <row r="77" spans="1:10" x14ac:dyDescent="0.25">
      <c r="A77" t="s">
        <v>13</v>
      </c>
      <c r="B77" t="s">
        <v>21</v>
      </c>
      <c r="C77" t="s">
        <v>62</v>
      </c>
      <c r="D77" s="2">
        <v>30</v>
      </c>
      <c r="E77" s="2">
        <v>55</v>
      </c>
      <c r="F77">
        <v>8</v>
      </c>
      <c r="G77">
        <v>3</v>
      </c>
      <c r="H77">
        <f t="shared" si="0"/>
        <v>5</v>
      </c>
      <c r="I77" s="1">
        <v>44922</v>
      </c>
      <c r="J77" t="s">
        <v>11</v>
      </c>
    </row>
    <row r="78" spans="1:10" x14ac:dyDescent="0.25">
      <c r="A78" t="s">
        <v>17</v>
      </c>
      <c r="B78" t="s">
        <v>21</v>
      </c>
      <c r="C78" t="s">
        <v>63</v>
      </c>
      <c r="D78" s="2">
        <v>40</v>
      </c>
      <c r="E78" s="2">
        <v>65</v>
      </c>
      <c r="F78">
        <v>2</v>
      </c>
      <c r="G78">
        <v>0</v>
      </c>
      <c r="H78">
        <f t="shared" si="0"/>
        <v>2</v>
      </c>
      <c r="I78" s="1">
        <v>44922</v>
      </c>
      <c r="J78" t="s">
        <v>11</v>
      </c>
    </row>
    <row r="79" spans="1:10" x14ac:dyDescent="0.25">
      <c r="A79" t="s">
        <v>34</v>
      </c>
      <c r="B79" t="s">
        <v>21</v>
      </c>
      <c r="C79" t="s">
        <v>64</v>
      </c>
      <c r="D79" s="2">
        <v>50</v>
      </c>
      <c r="E79" s="2">
        <v>70</v>
      </c>
      <c r="F79">
        <v>4</v>
      </c>
      <c r="G79">
        <v>3</v>
      </c>
      <c r="H79">
        <f t="shared" si="0"/>
        <v>1</v>
      </c>
      <c r="I79" s="1">
        <v>44922</v>
      </c>
      <c r="J79" t="s">
        <v>11</v>
      </c>
    </row>
    <row r="80" spans="1:10" x14ac:dyDescent="0.25">
      <c r="A80" t="s">
        <v>18</v>
      </c>
      <c r="B80" t="s">
        <v>21</v>
      </c>
      <c r="C80" t="s">
        <v>65</v>
      </c>
      <c r="D80" s="2">
        <v>20</v>
      </c>
      <c r="E80" s="2">
        <v>30</v>
      </c>
      <c r="F80">
        <v>22</v>
      </c>
      <c r="G80">
        <v>19</v>
      </c>
      <c r="H80">
        <f t="shared" si="0"/>
        <v>3</v>
      </c>
      <c r="I80" s="1">
        <v>44922</v>
      </c>
      <c r="J80" t="s">
        <v>11</v>
      </c>
    </row>
    <row r="81" spans="1:10" x14ac:dyDescent="0.25">
      <c r="A81" t="s">
        <v>19</v>
      </c>
      <c r="B81" t="s">
        <v>21</v>
      </c>
      <c r="C81" t="s">
        <v>66</v>
      </c>
      <c r="D81" s="2">
        <v>10</v>
      </c>
      <c r="E81" s="2">
        <v>20</v>
      </c>
      <c r="F81">
        <v>6</v>
      </c>
      <c r="G81">
        <v>6</v>
      </c>
      <c r="H81">
        <f t="shared" si="0"/>
        <v>0</v>
      </c>
      <c r="I81" s="1">
        <v>44922</v>
      </c>
      <c r="J81" t="s">
        <v>11</v>
      </c>
    </row>
    <row r="82" spans="1:10" x14ac:dyDescent="0.25">
      <c r="A82" t="s">
        <v>20</v>
      </c>
      <c r="B82" t="s">
        <v>21</v>
      </c>
      <c r="C82" t="s">
        <v>67</v>
      </c>
      <c r="D82" s="2">
        <v>60</v>
      </c>
      <c r="E82" s="2">
        <v>100</v>
      </c>
      <c r="F82">
        <v>5</v>
      </c>
      <c r="G82">
        <v>5</v>
      </c>
      <c r="H82">
        <f t="shared" si="0"/>
        <v>0</v>
      </c>
      <c r="I82" s="1">
        <v>44922</v>
      </c>
      <c r="J82" t="s">
        <v>11</v>
      </c>
    </row>
    <row r="83" spans="1:10" x14ac:dyDescent="0.25">
      <c r="A83" t="s">
        <v>22</v>
      </c>
      <c r="B83" t="s">
        <v>24</v>
      </c>
      <c r="C83" t="s">
        <v>68</v>
      </c>
      <c r="D83" s="2">
        <v>50</v>
      </c>
      <c r="E83" s="2">
        <v>70</v>
      </c>
      <c r="F83">
        <v>6</v>
      </c>
      <c r="G83">
        <v>5</v>
      </c>
      <c r="H83">
        <f t="shared" si="0"/>
        <v>1</v>
      </c>
      <c r="I83" s="1">
        <v>44922</v>
      </c>
      <c r="J83" t="s">
        <v>11</v>
      </c>
    </row>
    <row r="84" spans="1:10" x14ac:dyDescent="0.25">
      <c r="A84" t="s">
        <v>25</v>
      </c>
      <c r="B84" t="s">
        <v>24</v>
      </c>
      <c r="C84" t="s">
        <v>69</v>
      </c>
      <c r="D84" s="2">
        <v>45</v>
      </c>
      <c r="E84" s="2">
        <v>65</v>
      </c>
      <c r="F84">
        <v>4</v>
      </c>
      <c r="G84">
        <v>4</v>
      </c>
      <c r="H84">
        <f t="shared" si="0"/>
        <v>0</v>
      </c>
      <c r="I84" s="1">
        <v>44922</v>
      </c>
      <c r="J84" t="s">
        <v>11</v>
      </c>
    </row>
    <row r="85" spans="1:10" x14ac:dyDescent="0.25">
      <c r="A85" t="s">
        <v>26</v>
      </c>
      <c r="B85" t="s">
        <v>24</v>
      </c>
      <c r="C85" t="s">
        <v>70</v>
      </c>
      <c r="D85" s="2">
        <v>50</v>
      </c>
      <c r="E85" s="2">
        <v>70</v>
      </c>
      <c r="F85">
        <v>3</v>
      </c>
      <c r="G85">
        <v>3</v>
      </c>
      <c r="H85">
        <f t="shared" si="0"/>
        <v>0</v>
      </c>
      <c r="I85" s="1">
        <v>44922</v>
      </c>
      <c r="J85" t="s">
        <v>11</v>
      </c>
    </row>
    <row r="86" spans="1:10" x14ac:dyDescent="0.25">
      <c r="A86" t="s">
        <v>27</v>
      </c>
      <c r="B86" t="s">
        <v>24</v>
      </c>
      <c r="C86" t="s">
        <v>71</v>
      </c>
      <c r="D86" s="2">
        <v>10</v>
      </c>
      <c r="E86" s="2">
        <v>15</v>
      </c>
      <c r="F86">
        <v>8</v>
      </c>
      <c r="G86">
        <v>6</v>
      </c>
      <c r="H86">
        <f t="shared" si="0"/>
        <v>2</v>
      </c>
      <c r="I86" s="1">
        <v>44922</v>
      </c>
      <c r="J86" t="s">
        <v>11</v>
      </c>
    </row>
    <row r="87" spans="1:10" x14ac:dyDescent="0.25">
      <c r="A87" t="s">
        <v>28</v>
      </c>
      <c r="B87" t="s">
        <v>24</v>
      </c>
      <c r="C87" t="s">
        <v>72</v>
      </c>
      <c r="D87" s="2">
        <v>20</v>
      </c>
      <c r="E87" s="2">
        <v>25</v>
      </c>
      <c r="F87">
        <v>7</v>
      </c>
      <c r="G87">
        <v>6</v>
      </c>
      <c r="H87">
        <f t="shared" si="0"/>
        <v>1</v>
      </c>
      <c r="I87" s="1">
        <v>44922</v>
      </c>
      <c r="J87" t="s">
        <v>11</v>
      </c>
    </row>
    <row r="88" spans="1:10" x14ac:dyDescent="0.25">
      <c r="A88" t="s">
        <v>29</v>
      </c>
      <c r="B88" t="s">
        <v>30</v>
      </c>
      <c r="C88" t="s">
        <v>73</v>
      </c>
      <c r="D88" s="2">
        <v>25</v>
      </c>
      <c r="E88" s="2">
        <v>30</v>
      </c>
      <c r="F88">
        <v>0</v>
      </c>
      <c r="G88">
        <v>0</v>
      </c>
      <c r="H88">
        <f t="shared" si="0"/>
        <v>0</v>
      </c>
      <c r="I88" s="1">
        <v>44922</v>
      </c>
      <c r="J88" t="s">
        <v>11</v>
      </c>
    </row>
    <row r="89" spans="1:10" x14ac:dyDescent="0.25">
      <c r="A89" t="s">
        <v>31</v>
      </c>
      <c r="B89" t="s">
        <v>30</v>
      </c>
      <c r="C89" t="s">
        <v>74</v>
      </c>
      <c r="D89" s="2">
        <v>25</v>
      </c>
      <c r="E89" s="2">
        <v>30</v>
      </c>
      <c r="F89">
        <v>6</v>
      </c>
      <c r="G89">
        <v>5</v>
      </c>
      <c r="H89">
        <f t="shared" si="0"/>
        <v>1</v>
      </c>
      <c r="I89" s="1">
        <v>44922</v>
      </c>
      <c r="J89" t="s">
        <v>11</v>
      </c>
    </row>
    <row r="90" spans="1:10" x14ac:dyDescent="0.25">
      <c r="A90" t="s">
        <v>32</v>
      </c>
      <c r="B90" t="s">
        <v>30</v>
      </c>
      <c r="C90" t="s">
        <v>75</v>
      </c>
      <c r="D90" s="2">
        <v>25</v>
      </c>
      <c r="E90" s="2">
        <v>30</v>
      </c>
      <c r="F90">
        <v>0</v>
      </c>
      <c r="G90">
        <v>0</v>
      </c>
      <c r="H90">
        <f t="shared" si="0"/>
        <v>0</v>
      </c>
      <c r="I90" s="1">
        <v>44922</v>
      </c>
      <c r="J90" t="s">
        <v>11</v>
      </c>
    </row>
    <row r="91" spans="1:10" x14ac:dyDescent="0.25">
      <c r="A91" t="s">
        <v>33</v>
      </c>
      <c r="B91" t="s">
        <v>30</v>
      </c>
      <c r="C91" t="s">
        <v>76</v>
      </c>
      <c r="D91" s="2">
        <v>30</v>
      </c>
      <c r="E91" s="2">
        <v>35</v>
      </c>
      <c r="F91">
        <v>0</v>
      </c>
      <c r="G91">
        <v>0</v>
      </c>
      <c r="H91">
        <f t="shared" si="0"/>
        <v>0</v>
      </c>
      <c r="I91" s="1">
        <v>44922</v>
      </c>
      <c r="J91" t="s">
        <v>11</v>
      </c>
    </row>
    <row r="92" spans="1:10" x14ac:dyDescent="0.25">
      <c r="A92" t="s">
        <v>2</v>
      </c>
      <c r="B92" t="s">
        <v>3</v>
      </c>
      <c r="C92" t="s">
        <v>48</v>
      </c>
      <c r="D92" s="2">
        <v>100</v>
      </c>
      <c r="E92" s="2">
        <v>200</v>
      </c>
      <c r="F92">
        <v>3</v>
      </c>
      <c r="G92">
        <v>2</v>
      </c>
      <c r="H92">
        <f t="shared" si="0"/>
        <v>1</v>
      </c>
      <c r="I92" s="1">
        <v>44923</v>
      </c>
      <c r="J92" t="s">
        <v>35</v>
      </c>
    </row>
    <row r="93" spans="1:10" x14ac:dyDescent="0.25">
      <c r="A93" t="s">
        <v>7</v>
      </c>
      <c r="B93" t="s">
        <v>3</v>
      </c>
      <c r="C93" t="s">
        <v>77</v>
      </c>
      <c r="D93" s="2">
        <v>200</v>
      </c>
      <c r="E93" s="2">
        <v>300</v>
      </c>
      <c r="F93">
        <v>3</v>
      </c>
      <c r="G93">
        <v>1</v>
      </c>
      <c r="H93">
        <f t="shared" si="0"/>
        <v>2</v>
      </c>
      <c r="I93" s="1">
        <v>44923</v>
      </c>
      <c r="J93" t="s">
        <v>35</v>
      </c>
    </row>
    <row r="94" spans="1:10" x14ac:dyDescent="0.25">
      <c r="A94" t="s">
        <v>23</v>
      </c>
      <c r="B94" t="s">
        <v>3</v>
      </c>
      <c r="C94" t="s">
        <v>52</v>
      </c>
      <c r="D94" s="2">
        <v>150</v>
      </c>
      <c r="E94" s="2">
        <v>250</v>
      </c>
      <c r="F94">
        <v>2</v>
      </c>
      <c r="G94">
        <v>2</v>
      </c>
      <c r="H94">
        <f t="shared" si="0"/>
        <v>0</v>
      </c>
      <c r="I94" s="1">
        <v>44923</v>
      </c>
      <c r="J94" t="s">
        <v>35</v>
      </c>
    </row>
    <row r="95" spans="1:10" x14ac:dyDescent="0.25">
      <c r="A95" t="s">
        <v>9</v>
      </c>
      <c r="B95" t="s">
        <v>3</v>
      </c>
      <c r="C95" t="s">
        <v>53</v>
      </c>
      <c r="D95" s="2">
        <v>100</v>
      </c>
      <c r="E95" s="2">
        <v>200</v>
      </c>
      <c r="F95">
        <v>2</v>
      </c>
      <c r="G95">
        <v>1</v>
      </c>
      <c r="H95">
        <f t="shared" si="0"/>
        <v>1</v>
      </c>
      <c r="I95" s="1">
        <v>44923</v>
      </c>
      <c r="J95" t="s">
        <v>35</v>
      </c>
    </row>
    <row r="96" spans="1:10" x14ac:dyDescent="0.25">
      <c r="A96" t="s">
        <v>2</v>
      </c>
      <c r="B96" t="s">
        <v>12</v>
      </c>
      <c r="C96" t="s">
        <v>49</v>
      </c>
      <c r="D96" s="2">
        <v>250</v>
      </c>
      <c r="E96" s="2">
        <v>350</v>
      </c>
      <c r="F96">
        <v>3</v>
      </c>
      <c r="G96">
        <v>1</v>
      </c>
      <c r="H96">
        <f t="shared" si="0"/>
        <v>2</v>
      </c>
      <c r="I96" s="1">
        <v>44923</v>
      </c>
      <c r="J96" t="s">
        <v>35</v>
      </c>
    </row>
    <row r="97" spans="1:10" x14ac:dyDescent="0.25">
      <c r="A97" t="s">
        <v>7</v>
      </c>
      <c r="B97" t="s">
        <v>12</v>
      </c>
      <c r="C97" t="s">
        <v>54</v>
      </c>
      <c r="D97" s="2">
        <v>300</v>
      </c>
      <c r="E97" s="2">
        <v>400</v>
      </c>
      <c r="F97">
        <v>1</v>
      </c>
      <c r="G97">
        <v>1</v>
      </c>
      <c r="H97">
        <f t="shared" si="0"/>
        <v>0</v>
      </c>
      <c r="I97" s="1">
        <v>44923</v>
      </c>
      <c r="J97" t="s">
        <v>35</v>
      </c>
    </row>
    <row r="98" spans="1:10" x14ac:dyDescent="0.25">
      <c r="A98" t="s">
        <v>8</v>
      </c>
      <c r="B98" t="s">
        <v>12</v>
      </c>
      <c r="C98" t="s">
        <v>55</v>
      </c>
      <c r="D98" s="2">
        <v>250</v>
      </c>
      <c r="E98" s="2">
        <v>350</v>
      </c>
      <c r="F98">
        <v>2</v>
      </c>
      <c r="G98">
        <v>1</v>
      </c>
      <c r="H98">
        <f t="shared" si="0"/>
        <v>1</v>
      </c>
      <c r="I98" s="1">
        <v>44923</v>
      </c>
      <c r="J98" t="s">
        <v>35</v>
      </c>
    </row>
    <row r="99" spans="1:10" x14ac:dyDescent="0.25">
      <c r="A99" t="s">
        <v>9</v>
      </c>
      <c r="B99" t="s">
        <v>12</v>
      </c>
      <c r="C99" t="s">
        <v>56</v>
      </c>
      <c r="D99" s="2">
        <v>250</v>
      </c>
      <c r="E99" s="2">
        <v>350</v>
      </c>
      <c r="F99">
        <v>2</v>
      </c>
      <c r="G99">
        <v>2</v>
      </c>
      <c r="H99">
        <f t="shared" si="0"/>
        <v>0</v>
      </c>
      <c r="I99" s="1">
        <v>44923</v>
      </c>
      <c r="J99" t="s">
        <v>35</v>
      </c>
    </row>
    <row r="100" spans="1:10" x14ac:dyDescent="0.25">
      <c r="A100" t="s">
        <v>13</v>
      </c>
      <c r="B100" t="s">
        <v>12</v>
      </c>
      <c r="C100" t="s">
        <v>57</v>
      </c>
      <c r="D100" s="2">
        <v>300</v>
      </c>
      <c r="E100" s="2">
        <v>450</v>
      </c>
      <c r="F100">
        <v>4</v>
      </c>
      <c r="G100">
        <v>1</v>
      </c>
      <c r="H100">
        <f t="shared" si="0"/>
        <v>3</v>
      </c>
      <c r="I100" s="1">
        <v>44923</v>
      </c>
      <c r="J100" t="s">
        <v>35</v>
      </c>
    </row>
    <row r="101" spans="1:10" x14ac:dyDescent="0.25">
      <c r="A101" t="s">
        <v>14</v>
      </c>
      <c r="B101" t="s">
        <v>16</v>
      </c>
      <c r="C101" t="s">
        <v>50</v>
      </c>
      <c r="D101" s="2">
        <v>320</v>
      </c>
      <c r="E101" s="2">
        <v>400</v>
      </c>
      <c r="F101">
        <v>2</v>
      </c>
      <c r="G101">
        <v>1</v>
      </c>
      <c r="H101">
        <f t="shared" si="0"/>
        <v>1</v>
      </c>
      <c r="I101" s="1">
        <v>44923</v>
      </c>
      <c r="J101" t="s">
        <v>35</v>
      </c>
    </row>
    <row r="102" spans="1:10" x14ac:dyDescent="0.25">
      <c r="A102" t="s">
        <v>15</v>
      </c>
      <c r="B102" t="s">
        <v>16</v>
      </c>
      <c r="C102" t="s">
        <v>58</v>
      </c>
      <c r="D102" s="2">
        <v>100</v>
      </c>
      <c r="E102" s="2">
        <v>150</v>
      </c>
      <c r="F102">
        <v>0</v>
      </c>
      <c r="G102">
        <v>0</v>
      </c>
      <c r="H102">
        <f t="shared" si="0"/>
        <v>0</v>
      </c>
      <c r="I102" s="1">
        <v>44923</v>
      </c>
      <c r="J102" t="s">
        <v>35</v>
      </c>
    </row>
    <row r="103" spans="1:10" x14ac:dyDescent="0.25">
      <c r="A103" t="s">
        <v>2</v>
      </c>
      <c r="B103" t="s">
        <v>21</v>
      </c>
      <c r="C103" t="s">
        <v>51</v>
      </c>
      <c r="D103" s="2">
        <v>25</v>
      </c>
      <c r="E103" s="2">
        <v>40</v>
      </c>
      <c r="F103">
        <v>1</v>
      </c>
      <c r="G103">
        <v>0</v>
      </c>
      <c r="H103">
        <f t="shared" si="0"/>
        <v>1</v>
      </c>
      <c r="I103" s="1">
        <v>44923</v>
      </c>
      <c r="J103" t="s">
        <v>35</v>
      </c>
    </row>
    <row r="104" spans="1:10" x14ac:dyDescent="0.25">
      <c r="A104" t="s">
        <v>7</v>
      </c>
      <c r="B104" t="s">
        <v>21</v>
      </c>
      <c r="C104" t="s">
        <v>59</v>
      </c>
      <c r="D104" s="2">
        <v>30</v>
      </c>
      <c r="E104" s="2">
        <v>50</v>
      </c>
      <c r="F104">
        <v>2</v>
      </c>
      <c r="G104">
        <v>0</v>
      </c>
      <c r="H104">
        <f t="shared" si="0"/>
        <v>2</v>
      </c>
      <c r="I104" s="1">
        <v>44923</v>
      </c>
      <c r="J104" t="s">
        <v>35</v>
      </c>
    </row>
    <row r="105" spans="1:10" x14ac:dyDescent="0.25">
      <c r="A105" t="s">
        <v>9</v>
      </c>
      <c r="B105" t="s">
        <v>21</v>
      </c>
      <c r="C105" t="s">
        <v>60</v>
      </c>
      <c r="D105" s="2">
        <v>25</v>
      </c>
      <c r="E105" s="2">
        <v>40</v>
      </c>
      <c r="F105">
        <v>5</v>
      </c>
      <c r="G105">
        <v>0</v>
      </c>
      <c r="H105">
        <f t="shared" si="0"/>
        <v>5</v>
      </c>
      <c r="I105" s="1">
        <v>44923</v>
      </c>
      <c r="J105" t="s">
        <v>35</v>
      </c>
    </row>
    <row r="106" spans="1:10" x14ac:dyDescent="0.25">
      <c r="A106" t="s">
        <v>23</v>
      </c>
      <c r="B106" t="s">
        <v>21</v>
      </c>
      <c r="C106" t="s">
        <v>61</v>
      </c>
      <c r="D106" s="2">
        <v>25</v>
      </c>
      <c r="E106" s="2">
        <v>40</v>
      </c>
      <c r="F106">
        <v>9</v>
      </c>
      <c r="G106">
        <v>2</v>
      </c>
      <c r="H106">
        <f t="shared" si="0"/>
        <v>7</v>
      </c>
      <c r="I106" s="1">
        <v>44923</v>
      </c>
      <c r="J106" t="s">
        <v>35</v>
      </c>
    </row>
    <row r="107" spans="1:10" x14ac:dyDescent="0.25">
      <c r="A107" t="s">
        <v>13</v>
      </c>
      <c r="B107" t="s">
        <v>21</v>
      </c>
      <c r="C107" t="s">
        <v>62</v>
      </c>
      <c r="D107" s="2">
        <v>30</v>
      </c>
      <c r="E107" s="2">
        <v>55</v>
      </c>
      <c r="F107">
        <v>3</v>
      </c>
      <c r="G107">
        <v>0</v>
      </c>
      <c r="H107">
        <f t="shared" si="0"/>
        <v>3</v>
      </c>
      <c r="I107" s="1">
        <v>44923</v>
      </c>
      <c r="J107" t="s">
        <v>35</v>
      </c>
    </row>
    <row r="108" spans="1:10" x14ac:dyDescent="0.25">
      <c r="A108" t="s">
        <v>17</v>
      </c>
      <c r="B108" t="s">
        <v>21</v>
      </c>
      <c r="C108" t="s">
        <v>63</v>
      </c>
      <c r="D108" s="2">
        <v>40</v>
      </c>
      <c r="E108" s="2">
        <v>65</v>
      </c>
      <c r="F108">
        <v>0</v>
      </c>
      <c r="G108">
        <v>0</v>
      </c>
      <c r="H108">
        <f t="shared" si="0"/>
        <v>0</v>
      </c>
      <c r="I108" s="1">
        <v>44923</v>
      </c>
      <c r="J108" t="s">
        <v>35</v>
      </c>
    </row>
    <row r="109" spans="1:10" x14ac:dyDescent="0.25">
      <c r="A109" t="s">
        <v>34</v>
      </c>
      <c r="B109" t="s">
        <v>21</v>
      </c>
      <c r="C109" t="s">
        <v>64</v>
      </c>
      <c r="D109" s="2">
        <v>50</v>
      </c>
      <c r="E109" s="2">
        <v>70</v>
      </c>
      <c r="F109">
        <v>3</v>
      </c>
      <c r="G109">
        <v>3</v>
      </c>
      <c r="H109">
        <f t="shared" si="0"/>
        <v>0</v>
      </c>
      <c r="I109" s="1">
        <v>44923</v>
      </c>
      <c r="J109" t="s">
        <v>35</v>
      </c>
    </row>
    <row r="110" spans="1:10" x14ac:dyDescent="0.25">
      <c r="A110" t="s">
        <v>18</v>
      </c>
      <c r="B110" t="s">
        <v>21</v>
      </c>
      <c r="C110" t="s">
        <v>65</v>
      </c>
      <c r="D110" s="2">
        <v>20</v>
      </c>
      <c r="E110" s="2">
        <v>30</v>
      </c>
      <c r="F110">
        <v>19</v>
      </c>
      <c r="G110">
        <v>16</v>
      </c>
      <c r="H110">
        <f t="shared" si="0"/>
        <v>3</v>
      </c>
      <c r="I110" s="1">
        <v>44923</v>
      </c>
      <c r="J110" t="s">
        <v>35</v>
      </c>
    </row>
    <row r="111" spans="1:10" x14ac:dyDescent="0.25">
      <c r="A111" t="s">
        <v>19</v>
      </c>
      <c r="B111" t="s">
        <v>21</v>
      </c>
      <c r="C111" t="s">
        <v>66</v>
      </c>
      <c r="D111" s="2">
        <v>10</v>
      </c>
      <c r="E111" s="2">
        <v>20</v>
      </c>
      <c r="F111">
        <v>6</v>
      </c>
      <c r="G111">
        <v>6</v>
      </c>
      <c r="H111">
        <f t="shared" si="0"/>
        <v>0</v>
      </c>
      <c r="I111" s="1">
        <v>44923</v>
      </c>
      <c r="J111" t="s">
        <v>35</v>
      </c>
    </row>
    <row r="112" spans="1:10" x14ac:dyDescent="0.25">
      <c r="A112" t="s">
        <v>20</v>
      </c>
      <c r="B112" t="s">
        <v>21</v>
      </c>
      <c r="C112" t="s">
        <v>67</v>
      </c>
      <c r="D112" s="2">
        <v>60</v>
      </c>
      <c r="E112" s="2">
        <v>100</v>
      </c>
      <c r="F112">
        <v>5</v>
      </c>
      <c r="G112">
        <v>5</v>
      </c>
      <c r="H112">
        <f t="shared" si="0"/>
        <v>0</v>
      </c>
      <c r="I112" s="1">
        <v>44923</v>
      </c>
      <c r="J112" t="s">
        <v>35</v>
      </c>
    </row>
    <row r="113" spans="1:10" x14ac:dyDescent="0.25">
      <c r="A113" t="s">
        <v>22</v>
      </c>
      <c r="B113" t="s">
        <v>24</v>
      </c>
      <c r="C113" t="s">
        <v>68</v>
      </c>
      <c r="D113" s="2">
        <v>50</v>
      </c>
      <c r="E113" s="2">
        <v>70</v>
      </c>
      <c r="F113">
        <v>5</v>
      </c>
      <c r="G113">
        <v>5</v>
      </c>
      <c r="H113">
        <f t="shared" si="0"/>
        <v>0</v>
      </c>
      <c r="I113" s="1">
        <v>44923</v>
      </c>
      <c r="J113" t="s">
        <v>35</v>
      </c>
    </row>
    <row r="114" spans="1:10" x14ac:dyDescent="0.25">
      <c r="A114" t="s">
        <v>25</v>
      </c>
      <c r="B114" t="s">
        <v>24</v>
      </c>
      <c r="C114" t="s">
        <v>69</v>
      </c>
      <c r="D114" s="2">
        <v>45</v>
      </c>
      <c r="E114" s="2">
        <v>65</v>
      </c>
      <c r="F114">
        <v>4</v>
      </c>
      <c r="G114">
        <v>4</v>
      </c>
      <c r="H114">
        <f t="shared" si="0"/>
        <v>0</v>
      </c>
      <c r="I114" s="1">
        <v>44923</v>
      </c>
      <c r="J114" t="s">
        <v>35</v>
      </c>
    </row>
    <row r="115" spans="1:10" x14ac:dyDescent="0.25">
      <c r="A115" t="s">
        <v>26</v>
      </c>
      <c r="B115" t="s">
        <v>24</v>
      </c>
      <c r="C115" t="s">
        <v>70</v>
      </c>
      <c r="D115" s="2">
        <v>50</v>
      </c>
      <c r="E115" s="2">
        <v>70</v>
      </c>
      <c r="F115">
        <v>3</v>
      </c>
      <c r="G115">
        <v>3</v>
      </c>
      <c r="H115">
        <f t="shared" si="0"/>
        <v>0</v>
      </c>
      <c r="I115" s="1">
        <v>44923</v>
      </c>
      <c r="J115" t="s">
        <v>35</v>
      </c>
    </row>
    <row r="116" spans="1:10" x14ac:dyDescent="0.25">
      <c r="A116" t="s">
        <v>27</v>
      </c>
      <c r="B116" t="s">
        <v>24</v>
      </c>
      <c r="C116" t="s">
        <v>71</v>
      </c>
      <c r="D116" s="2">
        <v>10</v>
      </c>
      <c r="E116" s="2">
        <v>15</v>
      </c>
      <c r="F116">
        <v>6</v>
      </c>
      <c r="G116">
        <v>4</v>
      </c>
      <c r="H116">
        <f t="shared" si="0"/>
        <v>2</v>
      </c>
      <c r="I116" s="1">
        <v>44923</v>
      </c>
      <c r="J116" t="s">
        <v>35</v>
      </c>
    </row>
    <row r="117" spans="1:10" x14ac:dyDescent="0.25">
      <c r="A117" t="s">
        <v>28</v>
      </c>
      <c r="B117" t="s">
        <v>24</v>
      </c>
      <c r="C117" t="s">
        <v>72</v>
      </c>
      <c r="D117" s="2">
        <v>20</v>
      </c>
      <c r="E117" s="2">
        <v>25</v>
      </c>
      <c r="F117">
        <v>6</v>
      </c>
      <c r="G117">
        <v>4</v>
      </c>
      <c r="H117">
        <f t="shared" si="0"/>
        <v>2</v>
      </c>
      <c r="I117" s="1">
        <v>44923</v>
      </c>
      <c r="J117" t="s">
        <v>35</v>
      </c>
    </row>
    <row r="118" spans="1:10" x14ac:dyDescent="0.25">
      <c r="A118" t="s">
        <v>29</v>
      </c>
      <c r="B118" t="s">
        <v>30</v>
      </c>
      <c r="C118" t="s">
        <v>73</v>
      </c>
      <c r="D118" s="2">
        <v>25</v>
      </c>
      <c r="E118" s="2">
        <v>30</v>
      </c>
      <c r="F118">
        <v>10</v>
      </c>
      <c r="G118">
        <v>10</v>
      </c>
      <c r="H118">
        <f t="shared" si="0"/>
        <v>0</v>
      </c>
      <c r="I118" s="1">
        <v>44923</v>
      </c>
      <c r="J118" t="s">
        <v>35</v>
      </c>
    </row>
    <row r="119" spans="1:10" x14ac:dyDescent="0.25">
      <c r="A119" t="s">
        <v>31</v>
      </c>
      <c r="B119" t="s">
        <v>30</v>
      </c>
      <c r="C119" t="s">
        <v>74</v>
      </c>
      <c r="D119" s="2">
        <v>25</v>
      </c>
      <c r="E119" s="2">
        <v>30</v>
      </c>
      <c r="F119">
        <v>10</v>
      </c>
      <c r="G119">
        <v>8</v>
      </c>
      <c r="H119">
        <f t="shared" si="0"/>
        <v>2</v>
      </c>
      <c r="I119" s="1">
        <v>44923</v>
      </c>
      <c r="J119" t="s">
        <v>35</v>
      </c>
    </row>
    <row r="120" spans="1:10" x14ac:dyDescent="0.25">
      <c r="A120" t="s">
        <v>32</v>
      </c>
      <c r="B120" t="s">
        <v>30</v>
      </c>
      <c r="C120" t="s">
        <v>75</v>
      </c>
      <c r="D120" s="2">
        <v>25</v>
      </c>
      <c r="E120" s="2">
        <v>30</v>
      </c>
      <c r="F120">
        <v>5</v>
      </c>
      <c r="G120">
        <v>3</v>
      </c>
      <c r="H120">
        <f t="shared" si="0"/>
        <v>2</v>
      </c>
      <c r="I120" s="1">
        <v>44923</v>
      </c>
      <c r="J120" t="s">
        <v>35</v>
      </c>
    </row>
    <row r="121" spans="1:10" x14ac:dyDescent="0.25">
      <c r="A121" t="s">
        <v>33</v>
      </c>
      <c r="B121" t="s">
        <v>30</v>
      </c>
      <c r="C121" t="s">
        <v>76</v>
      </c>
      <c r="D121" s="2">
        <v>30</v>
      </c>
      <c r="E121" s="2">
        <v>35</v>
      </c>
      <c r="F121">
        <v>5</v>
      </c>
      <c r="G121">
        <v>3</v>
      </c>
      <c r="H121">
        <f t="shared" si="0"/>
        <v>2</v>
      </c>
      <c r="I121" s="1">
        <v>44923</v>
      </c>
      <c r="J121" t="s">
        <v>35</v>
      </c>
    </row>
    <row r="122" spans="1:10" x14ac:dyDescent="0.25">
      <c r="A122" t="s">
        <v>2</v>
      </c>
      <c r="B122" t="s">
        <v>3</v>
      </c>
      <c r="C122" t="s">
        <v>48</v>
      </c>
      <c r="D122" s="2">
        <v>100</v>
      </c>
      <c r="E122" s="2">
        <v>200</v>
      </c>
      <c r="F122">
        <v>2</v>
      </c>
      <c r="G122">
        <v>2</v>
      </c>
      <c r="H122">
        <f t="shared" si="0"/>
        <v>0</v>
      </c>
      <c r="I122" s="1">
        <v>44924</v>
      </c>
      <c r="J122" t="s">
        <v>36</v>
      </c>
    </row>
    <row r="123" spans="1:10" x14ac:dyDescent="0.25">
      <c r="A123" t="s">
        <v>7</v>
      </c>
      <c r="B123" t="s">
        <v>3</v>
      </c>
      <c r="C123" t="s">
        <v>77</v>
      </c>
      <c r="D123" s="2">
        <v>200</v>
      </c>
      <c r="E123" s="2">
        <v>300</v>
      </c>
      <c r="F123">
        <v>2</v>
      </c>
      <c r="G123">
        <v>2</v>
      </c>
      <c r="H123">
        <f t="shared" si="0"/>
        <v>0</v>
      </c>
      <c r="I123" s="1">
        <v>44924</v>
      </c>
      <c r="J123" t="s">
        <v>36</v>
      </c>
    </row>
    <row r="124" spans="1:10" x14ac:dyDescent="0.25">
      <c r="A124" t="s">
        <v>23</v>
      </c>
      <c r="B124" t="s">
        <v>3</v>
      </c>
      <c r="C124" t="s">
        <v>52</v>
      </c>
      <c r="D124" s="2">
        <v>150</v>
      </c>
      <c r="E124" s="2">
        <v>250</v>
      </c>
      <c r="F124">
        <v>2</v>
      </c>
      <c r="G124">
        <v>0</v>
      </c>
      <c r="H124">
        <f t="shared" si="0"/>
        <v>2</v>
      </c>
      <c r="I124" s="1">
        <v>44924</v>
      </c>
      <c r="J124" t="s">
        <v>36</v>
      </c>
    </row>
    <row r="125" spans="1:10" x14ac:dyDescent="0.25">
      <c r="A125" t="s">
        <v>9</v>
      </c>
      <c r="B125" t="s">
        <v>3</v>
      </c>
      <c r="C125" t="s">
        <v>53</v>
      </c>
      <c r="D125" s="2">
        <v>100</v>
      </c>
      <c r="E125" s="2">
        <v>200</v>
      </c>
      <c r="F125">
        <v>1</v>
      </c>
      <c r="G125">
        <v>1</v>
      </c>
      <c r="H125">
        <f t="shared" si="0"/>
        <v>0</v>
      </c>
      <c r="I125" s="1">
        <v>44924</v>
      </c>
      <c r="J125" t="s">
        <v>36</v>
      </c>
    </row>
    <row r="126" spans="1:10" x14ac:dyDescent="0.25">
      <c r="A126" t="s">
        <v>2</v>
      </c>
      <c r="B126" t="s">
        <v>12</v>
      </c>
      <c r="C126" t="s">
        <v>49</v>
      </c>
      <c r="D126" s="2">
        <v>250</v>
      </c>
      <c r="E126" s="2">
        <v>350</v>
      </c>
      <c r="F126">
        <v>3</v>
      </c>
      <c r="G126">
        <v>3</v>
      </c>
      <c r="H126">
        <f t="shared" si="0"/>
        <v>0</v>
      </c>
      <c r="I126" s="1">
        <v>44924</v>
      </c>
      <c r="J126" t="s">
        <v>36</v>
      </c>
    </row>
    <row r="127" spans="1:10" x14ac:dyDescent="0.25">
      <c r="A127" t="s">
        <v>7</v>
      </c>
      <c r="B127" t="s">
        <v>12</v>
      </c>
      <c r="C127" t="s">
        <v>54</v>
      </c>
      <c r="D127" s="2">
        <v>300</v>
      </c>
      <c r="E127" s="2">
        <v>400</v>
      </c>
      <c r="F127">
        <v>1</v>
      </c>
      <c r="G127">
        <v>0</v>
      </c>
      <c r="H127">
        <f t="shared" si="0"/>
        <v>1</v>
      </c>
      <c r="I127" s="1">
        <v>44924</v>
      </c>
      <c r="J127" t="s">
        <v>36</v>
      </c>
    </row>
    <row r="128" spans="1:10" x14ac:dyDescent="0.25">
      <c r="A128" t="s">
        <v>8</v>
      </c>
      <c r="B128" t="s">
        <v>12</v>
      </c>
      <c r="C128" t="s">
        <v>55</v>
      </c>
      <c r="D128" s="2">
        <v>250</v>
      </c>
      <c r="E128" s="2">
        <v>350</v>
      </c>
      <c r="F128">
        <v>1</v>
      </c>
      <c r="G128">
        <v>1</v>
      </c>
      <c r="H128">
        <f t="shared" si="0"/>
        <v>0</v>
      </c>
      <c r="I128" s="1">
        <v>44924</v>
      </c>
      <c r="J128" t="s">
        <v>36</v>
      </c>
    </row>
    <row r="129" spans="1:10" x14ac:dyDescent="0.25">
      <c r="A129" t="s">
        <v>9</v>
      </c>
      <c r="B129" t="s">
        <v>12</v>
      </c>
      <c r="C129" t="s">
        <v>56</v>
      </c>
      <c r="D129" s="2">
        <v>250</v>
      </c>
      <c r="E129" s="2">
        <v>350</v>
      </c>
      <c r="F129">
        <v>3</v>
      </c>
      <c r="G129">
        <v>1</v>
      </c>
      <c r="H129">
        <f t="shared" si="0"/>
        <v>2</v>
      </c>
      <c r="I129" s="1">
        <v>44924</v>
      </c>
      <c r="J129" t="s">
        <v>36</v>
      </c>
    </row>
    <row r="130" spans="1:10" x14ac:dyDescent="0.25">
      <c r="A130" t="s">
        <v>13</v>
      </c>
      <c r="B130" t="s">
        <v>12</v>
      </c>
      <c r="C130" t="s">
        <v>57</v>
      </c>
      <c r="D130" s="2">
        <v>300</v>
      </c>
      <c r="E130" s="2">
        <v>450</v>
      </c>
      <c r="F130">
        <v>1</v>
      </c>
      <c r="G130">
        <v>1</v>
      </c>
      <c r="H130">
        <f t="shared" si="0"/>
        <v>0</v>
      </c>
      <c r="I130" s="1">
        <v>44924</v>
      </c>
      <c r="J130" t="s">
        <v>36</v>
      </c>
    </row>
    <row r="131" spans="1:10" x14ac:dyDescent="0.25">
      <c r="A131" t="s">
        <v>14</v>
      </c>
      <c r="B131" t="s">
        <v>16</v>
      </c>
      <c r="C131" t="s">
        <v>50</v>
      </c>
      <c r="D131" s="2">
        <v>320</v>
      </c>
      <c r="E131" s="2">
        <v>400</v>
      </c>
      <c r="F131">
        <v>1</v>
      </c>
      <c r="G131">
        <v>1</v>
      </c>
      <c r="H131">
        <f t="shared" si="0"/>
        <v>0</v>
      </c>
      <c r="I131" s="1">
        <v>44924</v>
      </c>
      <c r="J131" t="s">
        <v>36</v>
      </c>
    </row>
    <row r="132" spans="1:10" x14ac:dyDescent="0.25">
      <c r="A132" t="s">
        <v>15</v>
      </c>
      <c r="B132" t="s">
        <v>16</v>
      </c>
      <c r="C132" t="s">
        <v>58</v>
      </c>
      <c r="D132" s="2">
        <v>100</v>
      </c>
      <c r="E132" s="2">
        <v>150</v>
      </c>
      <c r="F132">
        <v>0</v>
      </c>
      <c r="G132">
        <v>0</v>
      </c>
      <c r="H132">
        <f t="shared" si="0"/>
        <v>0</v>
      </c>
      <c r="I132" s="1">
        <v>44924</v>
      </c>
      <c r="J132" t="s">
        <v>36</v>
      </c>
    </row>
    <row r="133" spans="1:10" x14ac:dyDescent="0.25">
      <c r="A133" t="s">
        <v>2</v>
      </c>
      <c r="B133" t="s">
        <v>21</v>
      </c>
      <c r="C133" t="s">
        <v>51</v>
      </c>
      <c r="D133" s="2">
        <v>25</v>
      </c>
      <c r="E133" s="2">
        <v>40</v>
      </c>
      <c r="F133">
        <v>18</v>
      </c>
      <c r="G133">
        <v>5</v>
      </c>
      <c r="H133">
        <f t="shared" si="0"/>
        <v>13</v>
      </c>
      <c r="I133" s="1">
        <v>44924</v>
      </c>
      <c r="J133" t="s">
        <v>36</v>
      </c>
    </row>
    <row r="134" spans="1:10" x14ac:dyDescent="0.25">
      <c r="A134" t="s">
        <v>7</v>
      </c>
      <c r="B134" t="s">
        <v>21</v>
      </c>
      <c r="C134" t="s">
        <v>59</v>
      </c>
      <c r="D134" s="2">
        <v>30</v>
      </c>
      <c r="E134" s="2">
        <v>50</v>
      </c>
      <c r="F134">
        <v>7</v>
      </c>
      <c r="G134">
        <v>5</v>
      </c>
      <c r="H134">
        <f t="shared" si="0"/>
        <v>2</v>
      </c>
      <c r="I134" s="1">
        <v>44924</v>
      </c>
      <c r="J134" t="s">
        <v>36</v>
      </c>
    </row>
    <row r="135" spans="1:10" x14ac:dyDescent="0.25">
      <c r="A135" t="s">
        <v>9</v>
      </c>
      <c r="B135" t="s">
        <v>21</v>
      </c>
      <c r="C135" t="s">
        <v>60</v>
      </c>
      <c r="D135" s="2">
        <v>25</v>
      </c>
      <c r="E135" s="2">
        <v>40</v>
      </c>
      <c r="F135">
        <v>0</v>
      </c>
      <c r="G135">
        <v>0</v>
      </c>
      <c r="H135">
        <f t="shared" si="0"/>
        <v>0</v>
      </c>
      <c r="I135" s="1">
        <v>44924</v>
      </c>
      <c r="J135" t="s">
        <v>36</v>
      </c>
    </row>
    <row r="136" spans="1:10" x14ac:dyDescent="0.25">
      <c r="A136" t="s">
        <v>23</v>
      </c>
      <c r="B136" t="s">
        <v>21</v>
      </c>
      <c r="C136" t="s">
        <v>61</v>
      </c>
      <c r="D136" s="2">
        <v>25</v>
      </c>
      <c r="E136" s="2">
        <v>40</v>
      </c>
      <c r="F136">
        <v>2</v>
      </c>
      <c r="G136">
        <v>0</v>
      </c>
      <c r="H136">
        <f t="shared" si="0"/>
        <v>2</v>
      </c>
      <c r="I136" s="1">
        <v>44924</v>
      </c>
      <c r="J136" t="s">
        <v>36</v>
      </c>
    </row>
    <row r="137" spans="1:10" x14ac:dyDescent="0.25">
      <c r="A137" t="s">
        <v>13</v>
      </c>
      <c r="B137" t="s">
        <v>21</v>
      </c>
      <c r="C137" t="s">
        <v>62</v>
      </c>
      <c r="D137" s="2">
        <v>30</v>
      </c>
      <c r="E137" s="2">
        <v>55</v>
      </c>
      <c r="F137">
        <v>7</v>
      </c>
      <c r="G137">
        <v>6</v>
      </c>
      <c r="H137">
        <f t="shared" si="0"/>
        <v>1</v>
      </c>
      <c r="I137" s="1">
        <v>44924</v>
      </c>
      <c r="J137" t="s">
        <v>36</v>
      </c>
    </row>
    <row r="138" spans="1:10" x14ac:dyDescent="0.25">
      <c r="A138" t="s">
        <v>17</v>
      </c>
      <c r="B138" t="s">
        <v>21</v>
      </c>
      <c r="C138" t="s">
        <v>63</v>
      </c>
      <c r="D138" s="2">
        <v>40</v>
      </c>
      <c r="E138" s="2">
        <v>65</v>
      </c>
      <c r="F138">
        <v>0</v>
      </c>
      <c r="G138">
        <v>0</v>
      </c>
      <c r="H138">
        <f t="shared" si="0"/>
        <v>0</v>
      </c>
      <c r="I138" s="1">
        <v>44924</v>
      </c>
      <c r="J138" t="s">
        <v>36</v>
      </c>
    </row>
    <row r="139" spans="1:10" x14ac:dyDescent="0.25">
      <c r="A139" t="s">
        <v>34</v>
      </c>
      <c r="B139" t="s">
        <v>21</v>
      </c>
      <c r="C139" t="s">
        <v>64</v>
      </c>
      <c r="D139" s="2">
        <v>50</v>
      </c>
      <c r="E139" s="2">
        <v>70</v>
      </c>
      <c r="F139">
        <v>3</v>
      </c>
      <c r="G139">
        <v>3</v>
      </c>
      <c r="H139">
        <f t="shared" si="0"/>
        <v>0</v>
      </c>
      <c r="I139" s="1">
        <v>44924</v>
      </c>
      <c r="J139" t="s">
        <v>36</v>
      </c>
    </row>
    <row r="140" spans="1:10" x14ac:dyDescent="0.25">
      <c r="A140" t="s">
        <v>18</v>
      </c>
      <c r="B140" t="s">
        <v>21</v>
      </c>
      <c r="C140" t="s">
        <v>65</v>
      </c>
      <c r="D140" s="2">
        <v>20</v>
      </c>
      <c r="E140" s="2">
        <v>30</v>
      </c>
      <c r="F140">
        <v>16</v>
      </c>
      <c r="G140">
        <v>12</v>
      </c>
      <c r="H140">
        <f t="shared" si="0"/>
        <v>4</v>
      </c>
      <c r="I140" s="1">
        <v>44924</v>
      </c>
      <c r="J140" t="s">
        <v>36</v>
      </c>
    </row>
    <row r="141" spans="1:10" x14ac:dyDescent="0.25">
      <c r="A141" t="s">
        <v>19</v>
      </c>
      <c r="B141" t="s">
        <v>21</v>
      </c>
      <c r="C141" t="s">
        <v>66</v>
      </c>
      <c r="D141" s="2">
        <v>10</v>
      </c>
      <c r="E141" s="2">
        <v>20</v>
      </c>
      <c r="F141">
        <v>6</v>
      </c>
      <c r="G141">
        <v>6</v>
      </c>
      <c r="H141">
        <f t="shared" si="0"/>
        <v>0</v>
      </c>
      <c r="I141" s="1">
        <v>44924</v>
      </c>
      <c r="J141" t="s">
        <v>36</v>
      </c>
    </row>
    <row r="142" spans="1:10" x14ac:dyDescent="0.25">
      <c r="A142" t="s">
        <v>20</v>
      </c>
      <c r="B142" t="s">
        <v>21</v>
      </c>
      <c r="C142" t="s">
        <v>67</v>
      </c>
      <c r="D142" s="2">
        <v>60</v>
      </c>
      <c r="E142" s="2">
        <v>100</v>
      </c>
      <c r="F142">
        <v>5</v>
      </c>
      <c r="G142">
        <v>5</v>
      </c>
      <c r="H142">
        <f t="shared" si="0"/>
        <v>0</v>
      </c>
      <c r="I142" s="1">
        <v>44924</v>
      </c>
      <c r="J142" t="s">
        <v>36</v>
      </c>
    </row>
    <row r="143" spans="1:10" x14ac:dyDescent="0.25">
      <c r="A143" t="s">
        <v>22</v>
      </c>
      <c r="B143" t="s">
        <v>24</v>
      </c>
      <c r="C143" t="s">
        <v>68</v>
      </c>
      <c r="D143" s="2">
        <v>50</v>
      </c>
      <c r="E143" s="2">
        <v>70</v>
      </c>
      <c r="F143">
        <v>5</v>
      </c>
      <c r="G143">
        <v>5</v>
      </c>
      <c r="H143">
        <f t="shared" si="0"/>
        <v>0</v>
      </c>
      <c r="I143" s="1">
        <v>44924</v>
      </c>
      <c r="J143" t="s">
        <v>36</v>
      </c>
    </row>
    <row r="144" spans="1:10" x14ac:dyDescent="0.25">
      <c r="A144" t="s">
        <v>25</v>
      </c>
      <c r="B144" t="s">
        <v>24</v>
      </c>
      <c r="C144" t="s">
        <v>69</v>
      </c>
      <c r="D144" s="2">
        <v>45</v>
      </c>
      <c r="E144" s="2">
        <v>65</v>
      </c>
      <c r="F144">
        <v>4</v>
      </c>
      <c r="G144">
        <v>4</v>
      </c>
      <c r="H144">
        <f t="shared" si="0"/>
        <v>0</v>
      </c>
      <c r="I144" s="1">
        <v>44924</v>
      </c>
      <c r="J144" t="s">
        <v>36</v>
      </c>
    </row>
    <row r="145" spans="1:10" x14ac:dyDescent="0.25">
      <c r="A145" t="s">
        <v>26</v>
      </c>
      <c r="B145" t="s">
        <v>24</v>
      </c>
      <c r="C145" t="s">
        <v>70</v>
      </c>
      <c r="D145" s="2">
        <v>50</v>
      </c>
      <c r="E145" s="2">
        <v>70</v>
      </c>
      <c r="F145">
        <v>3</v>
      </c>
      <c r="G145">
        <v>3</v>
      </c>
      <c r="H145">
        <f t="shared" si="0"/>
        <v>0</v>
      </c>
      <c r="I145" s="1">
        <v>44924</v>
      </c>
      <c r="J145" t="s">
        <v>36</v>
      </c>
    </row>
    <row r="146" spans="1:10" x14ac:dyDescent="0.25">
      <c r="A146" t="s">
        <v>27</v>
      </c>
      <c r="B146" t="s">
        <v>24</v>
      </c>
      <c r="C146" t="s">
        <v>71</v>
      </c>
      <c r="D146" s="2">
        <v>10</v>
      </c>
      <c r="E146" s="2">
        <v>15</v>
      </c>
      <c r="F146">
        <v>9</v>
      </c>
      <c r="G146">
        <v>5</v>
      </c>
      <c r="H146">
        <f t="shared" si="0"/>
        <v>4</v>
      </c>
      <c r="I146" s="1">
        <v>44924</v>
      </c>
      <c r="J146" t="s">
        <v>36</v>
      </c>
    </row>
    <row r="147" spans="1:10" x14ac:dyDescent="0.25">
      <c r="A147" t="s">
        <v>28</v>
      </c>
      <c r="B147" t="s">
        <v>24</v>
      </c>
      <c r="C147" t="s">
        <v>72</v>
      </c>
      <c r="D147" s="2">
        <v>20</v>
      </c>
      <c r="E147" s="2">
        <v>25</v>
      </c>
      <c r="F147">
        <v>9</v>
      </c>
      <c r="G147">
        <v>7</v>
      </c>
      <c r="H147">
        <f t="shared" si="0"/>
        <v>2</v>
      </c>
      <c r="I147" s="1">
        <v>44924</v>
      </c>
      <c r="J147" t="s">
        <v>36</v>
      </c>
    </row>
    <row r="148" spans="1:10" x14ac:dyDescent="0.25">
      <c r="A148" t="s">
        <v>29</v>
      </c>
      <c r="B148" t="s">
        <v>30</v>
      </c>
      <c r="C148" t="s">
        <v>73</v>
      </c>
      <c r="D148" s="2">
        <v>25</v>
      </c>
      <c r="E148" s="2">
        <v>30</v>
      </c>
      <c r="F148">
        <v>10</v>
      </c>
      <c r="G148">
        <v>3</v>
      </c>
      <c r="H148">
        <f t="shared" si="0"/>
        <v>7</v>
      </c>
      <c r="I148" s="1">
        <v>44924</v>
      </c>
      <c r="J148" t="s">
        <v>36</v>
      </c>
    </row>
    <row r="149" spans="1:10" x14ac:dyDescent="0.25">
      <c r="A149" t="s">
        <v>31</v>
      </c>
      <c r="B149" t="s">
        <v>30</v>
      </c>
      <c r="C149" t="s">
        <v>74</v>
      </c>
      <c r="D149" s="2">
        <v>25</v>
      </c>
      <c r="E149" s="2">
        <v>30</v>
      </c>
      <c r="F149">
        <v>8</v>
      </c>
      <c r="G149">
        <v>7</v>
      </c>
      <c r="H149">
        <f t="shared" si="0"/>
        <v>1</v>
      </c>
      <c r="I149" s="1">
        <v>44924</v>
      </c>
      <c r="J149" t="s">
        <v>36</v>
      </c>
    </row>
    <row r="150" spans="1:10" x14ac:dyDescent="0.25">
      <c r="A150" t="s">
        <v>32</v>
      </c>
      <c r="B150" t="s">
        <v>30</v>
      </c>
      <c r="C150" t="s">
        <v>75</v>
      </c>
      <c r="D150" s="2">
        <v>25</v>
      </c>
      <c r="E150" s="2">
        <v>30</v>
      </c>
      <c r="F150">
        <v>3</v>
      </c>
      <c r="G150">
        <v>0</v>
      </c>
      <c r="H150">
        <f t="shared" si="0"/>
        <v>3</v>
      </c>
      <c r="I150" s="1">
        <v>44924</v>
      </c>
      <c r="J150" t="s">
        <v>36</v>
      </c>
    </row>
    <row r="151" spans="1:10" x14ac:dyDescent="0.25">
      <c r="A151" t="s">
        <v>33</v>
      </c>
      <c r="B151" t="s">
        <v>30</v>
      </c>
      <c r="C151" t="s">
        <v>76</v>
      </c>
      <c r="D151" s="2">
        <v>30</v>
      </c>
      <c r="E151" s="2">
        <v>35</v>
      </c>
      <c r="F151">
        <v>3</v>
      </c>
      <c r="G151">
        <v>0</v>
      </c>
      <c r="H151">
        <f t="shared" si="0"/>
        <v>3</v>
      </c>
      <c r="I151" s="1">
        <v>44924</v>
      </c>
      <c r="J151" t="s">
        <v>36</v>
      </c>
    </row>
    <row r="152" spans="1:10" x14ac:dyDescent="0.25">
      <c r="A152" t="s">
        <v>2</v>
      </c>
      <c r="B152" t="s">
        <v>3</v>
      </c>
      <c r="C152" t="s">
        <v>48</v>
      </c>
      <c r="D152" s="2">
        <v>100</v>
      </c>
      <c r="E152" s="2">
        <v>200</v>
      </c>
      <c r="F152">
        <v>11</v>
      </c>
      <c r="G152">
        <v>9</v>
      </c>
      <c r="H152">
        <f t="shared" si="0"/>
        <v>2</v>
      </c>
      <c r="I152" s="1">
        <v>44925</v>
      </c>
      <c r="J152" t="s">
        <v>37</v>
      </c>
    </row>
    <row r="153" spans="1:10" x14ac:dyDescent="0.25">
      <c r="A153" t="s">
        <v>7</v>
      </c>
      <c r="B153" t="s">
        <v>3</v>
      </c>
      <c r="C153" t="s">
        <v>77</v>
      </c>
      <c r="D153" s="2">
        <v>200</v>
      </c>
      <c r="E153" s="2">
        <v>300</v>
      </c>
      <c r="F153">
        <v>4</v>
      </c>
      <c r="G153">
        <v>2</v>
      </c>
      <c r="H153">
        <f t="shared" si="0"/>
        <v>2</v>
      </c>
      <c r="I153" s="1">
        <v>44925</v>
      </c>
      <c r="J153" t="s">
        <v>37</v>
      </c>
    </row>
    <row r="154" spans="1:10" x14ac:dyDescent="0.25">
      <c r="A154" t="s">
        <v>23</v>
      </c>
      <c r="B154" t="s">
        <v>3</v>
      </c>
      <c r="C154" t="s">
        <v>52</v>
      </c>
      <c r="D154" s="2">
        <v>150</v>
      </c>
      <c r="E154" s="2">
        <v>250</v>
      </c>
      <c r="F154">
        <v>1</v>
      </c>
      <c r="G154">
        <v>1</v>
      </c>
      <c r="H154">
        <f t="shared" si="0"/>
        <v>0</v>
      </c>
      <c r="I154" s="1">
        <v>44925</v>
      </c>
      <c r="J154" t="s">
        <v>37</v>
      </c>
    </row>
    <row r="155" spans="1:10" x14ac:dyDescent="0.25">
      <c r="A155" t="s">
        <v>9</v>
      </c>
      <c r="B155" t="s">
        <v>3</v>
      </c>
      <c r="C155" t="s">
        <v>53</v>
      </c>
      <c r="D155" s="2">
        <v>100</v>
      </c>
      <c r="E155" s="2">
        <v>200</v>
      </c>
      <c r="F155">
        <v>9</v>
      </c>
      <c r="G155">
        <v>8</v>
      </c>
      <c r="H155">
        <f t="shared" si="0"/>
        <v>1</v>
      </c>
      <c r="I155" s="1">
        <v>44925</v>
      </c>
      <c r="J155" t="s">
        <v>37</v>
      </c>
    </row>
    <row r="156" spans="1:10" x14ac:dyDescent="0.25">
      <c r="A156" t="s">
        <v>2</v>
      </c>
      <c r="B156" t="s">
        <v>12</v>
      </c>
      <c r="C156" t="s">
        <v>49</v>
      </c>
      <c r="D156" s="2">
        <v>250</v>
      </c>
      <c r="E156" s="2">
        <v>350</v>
      </c>
      <c r="F156">
        <v>7</v>
      </c>
      <c r="G156">
        <v>2</v>
      </c>
      <c r="H156">
        <f t="shared" si="0"/>
        <v>5</v>
      </c>
      <c r="I156" s="1">
        <v>44925</v>
      </c>
      <c r="J156" t="s">
        <v>37</v>
      </c>
    </row>
    <row r="157" spans="1:10" x14ac:dyDescent="0.25">
      <c r="A157" t="s">
        <v>7</v>
      </c>
      <c r="B157" t="s">
        <v>12</v>
      </c>
      <c r="C157" t="s">
        <v>54</v>
      </c>
      <c r="D157" s="2">
        <v>300</v>
      </c>
      <c r="E157" s="2">
        <v>400</v>
      </c>
      <c r="F157">
        <v>0</v>
      </c>
      <c r="G157">
        <v>0</v>
      </c>
      <c r="H157">
        <f t="shared" si="0"/>
        <v>0</v>
      </c>
      <c r="I157" s="1">
        <v>44925</v>
      </c>
      <c r="J157" t="s">
        <v>37</v>
      </c>
    </row>
    <row r="158" spans="1:10" x14ac:dyDescent="0.25">
      <c r="A158" t="s">
        <v>8</v>
      </c>
      <c r="B158" t="s">
        <v>12</v>
      </c>
      <c r="C158" t="s">
        <v>55</v>
      </c>
      <c r="D158" s="2">
        <v>250</v>
      </c>
      <c r="E158" s="2">
        <v>350</v>
      </c>
      <c r="F158">
        <v>5</v>
      </c>
      <c r="G158">
        <v>0</v>
      </c>
      <c r="H158">
        <f t="shared" si="0"/>
        <v>5</v>
      </c>
      <c r="I158" s="1">
        <v>44925</v>
      </c>
      <c r="J158" t="s">
        <v>37</v>
      </c>
    </row>
    <row r="159" spans="1:10" x14ac:dyDescent="0.25">
      <c r="A159" t="s">
        <v>9</v>
      </c>
      <c r="B159" t="s">
        <v>12</v>
      </c>
      <c r="C159" t="s">
        <v>56</v>
      </c>
      <c r="D159" s="2">
        <v>250</v>
      </c>
      <c r="E159" s="2">
        <v>350</v>
      </c>
      <c r="F159">
        <v>6</v>
      </c>
      <c r="G159">
        <v>2</v>
      </c>
      <c r="H159">
        <f t="shared" si="0"/>
        <v>4</v>
      </c>
      <c r="I159" s="1">
        <v>44925</v>
      </c>
      <c r="J159" t="s">
        <v>37</v>
      </c>
    </row>
    <row r="160" spans="1:10" x14ac:dyDescent="0.25">
      <c r="A160" t="s">
        <v>13</v>
      </c>
      <c r="B160" t="s">
        <v>12</v>
      </c>
      <c r="C160" t="s">
        <v>57</v>
      </c>
      <c r="D160" s="2">
        <v>300</v>
      </c>
      <c r="E160" s="2">
        <v>450</v>
      </c>
      <c r="F160">
        <v>3</v>
      </c>
      <c r="G160">
        <v>1</v>
      </c>
      <c r="H160">
        <f t="shared" si="0"/>
        <v>2</v>
      </c>
      <c r="I160" s="1">
        <v>44925</v>
      </c>
      <c r="J160" t="s">
        <v>37</v>
      </c>
    </row>
    <row r="161" spans="1:10" x14ac:dyDescent="0.25">
      <c r="A161" t="s">
        <v>14</v>
      </c>
      <c r="B161" t="s">
        <v>16</v>
      </c>
      <c r="C161" t="s">
        <v>50</v>
      </c>
      <c r="D161" s="2">
        <v>320</v>
      </c>
      <c r="E161" s="2">
        <v>400</v>
      </c>
      <c r="F161">
        <v>2</v>
      </c>
      <c r="G161">
        <v>2</v>
      </c>
      <c r="H161">
        <f t="shared" si="0"/>
        <v>0</v>
      </c>
      <c r="I161" s="1">
        <v>44925</v>
      </c>
      <c r="J161" t="s">
        <v>37</v>
      </c>
    </row>
    <row r="162" spans="1:10" x14ac:dyDescent="0.25">
      <c r="A162" t="s">
        <v>15</v>
      </c>
      <c r="B162" t="s">
        <v>16</v>
      </c>
      <c r="C162" t="s">
        <v>58</v>
      </c>
      <c r="D162" s="2">
        <v>100</v>
      </c>
      <c r="E162" s="2">
        <v>150</v>
      </c>
      <c r="F162">
        <v>10</v>
      </c>
      <c r="G162">
        <v>9</v>
      </c>
      <c r="H162">
        <f t="shared" si="0"/>
        <v>1</v>
      </c>
      <c r="I162" s="1">
        <v>44925</v>
      </c>
      <c r="J162" t="s">
        <v>37</v>
      </c>
    </row>
    <row r="163" spans="1:10" x14ac:dyDescent="0.25">
      <c r="A163" t="s">
        <v>2</v>
      </c>
      <c r="B163" t="s">
        <v>21</v>
      </c>
      <c r="C163" t="s">
        <v>51</v>
      </c>
      <c r="D163" s="2">
        <v>25</v>
      </c>
      <c r="E163" s="2">
        <v>40</v>
      </c>
      <c r="F163">
        <v>25</v>
      </c>
      <c r="G163">
        <v>19</v>
      </c>
      <c r="H163">
        <f t="shared" si="0"/>
        <v>6</v>
      </c>
      <c r="I163" s="1">
        <v>44925</v>
      </c>
      <c r="J163" t="s">
        <v>37</v>
      </c>
    </row>
    <row r="164" spans="1:10" x14ac:dyDescent="0.25">
      <c r="A164" t="s">
        <v>7</v>
      </c>
      <c r="B164" t="s">
        <v>21</v>
      </c>
      <c r="C164" t="s">
        <v>59</v>
      </c>
      <c r="D164" s="2">
        <v>30</v>
      </c>
      <c r="E164" s="2">
        <v>50</v>
      </c>
      <c r="F164">
        <v>21</v>
      </c>
      <c r="G164">
        <v>14</v>
      </c>
      <c r="H164">
        <f t="shared" si="0"/>
        <v>7</v>
      </c>
      <c r="I164" s="1">
        <v>44925</v>
      </c>
      <c r="J164" t="s">
        <v>37</v>
      </c>
    </row>
    <row r="165" spans="1:10" x14ac:dyDescent="0.25">
      <c r="A165" t="s">
        <v>9</v>
      </c>
      <c r="B165" t="s">
        <v>21</v>
      </c>
      <c r="C165" t="s">
        <v>60</v>
      </c>
      <c r="D165" s="2">
        <v>25</v>
      </c>
      <c r="E165" s="2">
        <v>40</v>
      </c>
      <c r="F165">
        <v>20</v>
      </c>
      <c r="G165">
        <v>12</v>
      </c>
      <c r="H165">
        <f t="shared" si="0"/>
        <v>8</v>
      </c>
      <c r="I165" s="1">
        <v>44925</v>
      </c>
      <c r="J165" t="s">
        <v>37</v>
      </c>
    </row>
    <row r="166" spans="1:10" x14ac:dyDescent="0.25">
      <c r="A166" t="s">
        <v>23</v>
      </c>
      <c r="B166" t="s">
        <v>21</v>
      </c>
      <c r="C166" t="s">
        <v>61</v>
      </c>
      <c r="D166" s="2">
        <v>25</v>
      </c>
      <c r="E166" s="2">
        <v>40</v>
      </c>
      <c r="F166">
        <v>32</v>
      </c>
      <c r="G166">
        <v>22</v>
      </c>
      <c r="H166">
        <f t="shared" si="0"/>
        <v>10</v>
      </c>
      <c r="I166" s="1">
        <v>44925</v>
      </c>
      <c r="J166" t="s">
        <v>37</v>
      </c>
    </row>
    <row r="167" spans="1:10" x14ac:dyDescent="0.25">
      <c r="A167" t="s">
        <v>13</v>
      </c>
      <c r="B167" t="s">
        <v>21</v>
      </c>
      <c r="C167" t="s">
        <v>62</v>
      </c>
      <c r="D167" s="2">
        <v>30</v>
      </c>
      <c r="E167" s="2">
        <v>55</v>
      </c>
      <c r="F167">
        <v>30</v>
      </c>
      <c r="G167">
        <v>25</v>
      </c>
      <c r="H167">
        <f t="shared" si="0"/>
        <v>5</v>
      </c>
      <c r="I167" s="1">
        <v>44925</v>
      </c>
      <c r="J167" t="s">
        <v>37</v>
      </c>
    </row>
    <row r="168" spans="1:10" x14ac:dyDescent="0.25">
      <c r="A168" t="s">
        <v>17</v>
      </c>
      <c r="B168" t="s">
        <v>21</v>
      </c>
      <c r="C168" t="s">
        <v>63</v>
      </c>
      <c r="D168" s="2">
        <v>40</v>
      </c>
      <c r="E168" s="2">
        <v>65</v>
      </c>
      <c r="F168">
        <v>20</v>
      </c>
      <c r="G168">
        <v>10</v>
      </c>
      <c r="H168">
        <f t="shared" si="0"/>
        <v>10</v>
      </c>
      <c r="I168" s="1">
        <v>44925</v>
      </c>
      <c r="J168" t="s">
        <v>37</v>
      </c>
    </row>
    <row r="169" spans="1:10" x14ac:dyDescent="0.25">
      <c r="A169" t="s">
        <v>34</v>
      </c>
      <c r="B169" t="s">
        <v>21</v>
      </c>
      <c r="C169" t="s">
        <v>64</v>
      </c>
      <c r="D169" s="2">
        <v>50</v>
      </c>
      <c r="E169" s="2">
        <v>70</v>
      </c>
      <c r="F169">
        <v>3</v>
      </c>
      <c r="G169">
        <v>2</v>
      </c>
      <c r="H169">
        <f t="shared" si="0"/>
        <v>1</v>
      </c>
      <c r="I169" s="1">
        <v>44925</v>
      </c>
      <c r="J169" t="s">
        <v>37</v>
      </c>
    </row>
    <row r="170" spans="1:10" x14ac:dyDescent="0.25">
      <c r="A170" t="s">
        <v>18</v>
      </c>
      <c r="B170" t="s">
        <v>21</v>
      </c>
      <c r="C170" t="s">
        <v>65</v>
      </c>
      <c r="D170" s="2">
        <v>20</v>
      </c>
      <c r="E170" s="2">
        <v>30</v>
      </c>
      <c r="F170">
        <v>57</v>
      </c>
      <c r="G170">
        <v>45</v>
      </c>
      <c r="H170">
        <f t="shared" si="0"/>
        <v>12</v>
      </c>
      <c r="I170" s="1">
        <v>44925</v>
      </c>
      <c r="J170" t="s">
        <v>37</v>
      </c>
    </row>
    <row r="171" spans="1:10" x14ac:dyDescent="0.25">
      <c r="A171" t="s">
        <v>19</v>
      </c>
      <c r="B171" t="s">
        <v>21</v>
      </c>
      <c r="C171" t="s">
        <v>66</v>
      </c>
      <c r="D171" s="2">
        <v>10</v>
      </c>
      <c r="E171" s="2">
        <v>20</v>
      </c>
      <c r="F171">
        <v>6</v>
      </c>
      <c r="G171">
        <v>4</v>
      </c>
      <c r="H171">
        <f t="shared" si="0"/>
        <v>2</v>
      </c>
      <c r="I171" s="1">
        <v>44925</v>
      </c>
      <c r="J171" t="s">
        <v>37</v>
      </c>
    </row>
    <row r="172" spans="1:10" x14ac:dyDescent="0.25">
      <c r="A172" t="s">
        <v>20</v>
      </c>
      <c r="B172" t="s">
        <v>21</v>
      </c>
      <c r="C172" t="s">
        <v>67</v>
      </c>
      <c r="D172" s="2">
        <v>60</v>
      </c>
      <c r="E172" s="2">
        <v>100</v>
      </c>
      <c r="F172">
        <v>22</v>
      </c>
      <c r="G172">
        <v>6</v>
      </c>
      <c r="H172">
        <f t="shared" si="0"/>
        <v>16</v>
      </c>
      <c r="I172" s="1">
        <v>44925</v>
      </c>
      <c r="J172" t="s">
        <v>37</v>
      </c>
    </row>
    <row r="173" spans="1:10" x14ac:dyDescent="0.25">
      <c r="A173" t="s">
        <v>22</v>
      </c>
      <c r="B173" t="s">
        <v>24</v>
      </c>
      <c r="C173" t="s">
        <v>68</v>
      </c>
      <c r="D173" s="2">
        <v>50</v>
      </c>
      <c r="E173" s="2">
        <v>70</v>
      </c>
      <c r="F173">
        <v>5</v>
      </c>
      <c r="G173">
        <v>5</v>
      </c>
      <c r="H173">
        <f t="shared" si="0"/>
        <v>0</v>
      </c>
      <c r="I173" s="1">
        <v>44925</v>
      </c>
      <c r="J173" t="s">
        <v>37</v>
      </c>
    </row>
    <row r="174" spans="1:10" x14ac:dyDescent="0.25">
      <c r="A174" t="s">
        <v>25</v>
      </c>
      <c r="B174" t="s">
        <v>24</v>
      </c>
      <c r="C174" t="s">
        <v>69</v>
      </c>
      <c r="D174" s="2">
        <v>45</v>
      </c>
      <c r="E174" s="2">
        <v>65</v>
      </c>
      <c r="F174">
        <v>4</v>
      </c>
      <c r="G174">
        <v>4</v>
      </c>
      <c r="H174">
        <f t="shared" si="0"/>
        <v>0</v>
      </c>
      <c r="I174" s="1">
        <v>44925</v>
      </c>
      <c r="J174" t="s">
        <v>37</v>
      </c>
    </row>
    <row r="175" spans="1:10" x14ac:dyDescent="0.25">
      <c r="A175" t="s">
        <v>26</v>
      </c>
      <c r="B175" t="s">
        <v>24</v>
      </c>
      <c r="C175" t="s">
        <v>70</v>
      </c>
      <c r="D175" s="2">
        <v>50</v>
      </c>
      <c r="E175" s="2">
        <v>70</v>
      </c>
      <c r="F175">
        <v>3</v>
      </c>
      <c r="G175">
        <v>3</v>
      </c>
      <c r="H175">
        <f t="shared" si="0"/>
        <v>0</v>
      </c>
      <c r="I175" s="1">
        <v>44925</v>
      </c>
      <c r="J175" t="s">
        <v>37</v>
      </c>
    </row>
    <row r="176" spans="1:10" x14ac:dyDescent="0.25">
      <c r="A176" t="s">
        <v>27</v>
      </c>
      <c r="B176" t="s">
        <v>24</v>
      </c>
      <c r="C176" t="s">
        <v>71</v>
      </c>
      <c r="D176" s="2">
        <v>10</v>
      </c>
      <c r="E176" s="2">
        <v>15</v>
      </c>
      <c r="F176">
        <v>5</v>
      </c>
      <c r="G176">
        <v>0</v>
      </c>
      <c r="H176">
        <f t="shared" si="0"/>
        <v>5</v>
      </c>
      <c r="I176" s="1">
        <v>44925</v>
      </c>
      <c r="J176" t="s">
        <v>37</v>
      </c>
    </row>
    <row r="177" spans="1:10" x14ac:dyDescent="0.25">
      <c r="A177" t="s">
        <v>28</v>
      </c>
      <c r="B177" t="s">
        <v>24</v>
      </c>
      <c r="C177" t="s">
        <v>72</v>
      </c>
      <c r="D177" s="2">
        <v>20</v>
      </c>
      <c r="E177" s="2">
        <v>25</v>
      </c>
      <c r="F177">
        <v>7</v>
      </c>
      <c r="G177">
        <v>3</v>
      </c>
      <c r="H177">
        <f t="shared" si="0"/>
        <v>4</v>
      </c>
      <c r="I177" s="1">
        <v>44925</v>
      </c>
      <c r="J177" t="s">
        <v>37</v>
      </c>
    </row>
    <row r="178" spans="1:10" x14ac:dyDescent="0.25">
      <c r="A178" t="s">
        <v>29</v>
      </c>
      <c r="B178" t="s">
        <v>30</v>
      </c>
      <c r="C178" t="s">
        <v>73</v>
      </c>
      <c r="D178" s="2">
        <v>25</v>
      </c>
      <c r="E178" s="2">
        <v>30</v>
      </c>
      <c r="F178">
        <v>18</v>
      </c>
      <c r="G178">
        <v>16</v>
      </c>
      <c r="H178">
        <f t="shared" si="0"/>
        <v>2</v>
      </c>
      <c r="I178" s="1">
        <v>44925</v>
      </c>
      <c r="J178" t="s">
        <v>37</v>
      </c>
    </row>
    <row r="179" spans="1:10" x14ac:dyDescent="0.25">
      <c r="A179" t="s">
        <v>31</v>
      </c>
      <c r="B179" t="s">
        <v>30</v>
      </c>
      <c r="C179" t="s">
        <v>74</v>
      </c>
      <c r="D179" s="2">
        <v>25</v>
      </c>
      <c r="E179" s="2">
        <v>30</v>
      </c>
      <c r="F179">
        <v>7</v>
      </c>
      <c r="G179">
        <v>7</v>
      </c>
      <c r="H179">
        <f t="shared" si="0"/>
        <v>0</v>
      </c>
      <c r="I179" s="1">
        <v>44925</v>
      </c>
      <c r="J179" t="s">
        <v>37</v>
      </c>
    </row>
    <row r="180" spans="1:10" x14ac:dyDescent="0.25">
      <c r="A180" t="s">
        <v>32</v>
      </c>
      <c r="B180" t="s">
        <v>30</v>
      </c>
      <c r="C180" t="s">
        <v>75</v>
      </c>
      <c r="D180" s="2">
        <v>25</v>
      </c>
      <c r="E180" s="2">
        <v>30</v>
      </c>
      <c r="F180">
        <v>5</v>
      </c>
      <c r="G180">
        <v>0</v>
      </c>
      <c r="H180">
        <f t="shared" si="0"/>
        <v>5</v>
      </c>
      <c r="I180" s="1">
        <v>44925</v>
      </c>
      <c r="J180" t="s">
        <v>37</v>
      </c>
    </row>
    <row r="181" spans="1:10" x14ac:dyDescent="0.25">
      <c r="A181" t="s">
        <v>33</v>
      </c>
      <c r="B181" t="s">
        <v>30</v>
      </c>
      <c r="C181" t="s">
        <v>76</v>
      </c>
      <c r="D181" s="2">
        <v>30</v>
      </c>
      <c r="E181" s="2">
        <v>35</v>
      </c>
      <c r="F181">
        <v>13</v>
      </c>
      <c r="G181">
        <v>10</v>
      </c>
      <c r="H181">
        <f t="shared" si="0"/>
        <v>3</v>
      </c>
      <c r="I181" s="1">
        <v>44925</v>
      </c>
      <c r="J181" t="s">
        <v>37</v>
      </c>
    </row>
    <row r="182" spans="1:10" x14ac:dyDescent="0.25">
      <c r="A182" t="s">
        <v>2</v>
      </c>
      <c r="B182" t="s">
        <v>3</v>
      </c>
      <c r="C182" t="s">
        <v>48</v>
      </c>
      <c r="D182" s="2">
        <v>100</v>
      </c>
      <c r="E182" s="2">
        <v>200</v>
      </c>
      <c r="F182">
        <v>16</v>
      </c>
      <c r="G182">
        <v>5</v>
      </c>
      <c r="H182">
        <f t="shared" si="0"/>
        <v>11</v>
      </c>
      <c r="I182" s="1">
        <v>44926</v>
      </c>
      <c r="J182" t="s">
        <v>38</v>
      </c>
    </row>
    <row r="183" spans="1:10" x14ac:dyDescent="0.25">
      <c r="A183" t="s">
        <v>7</v>
      </c>
      <c r="B183" t="s">
        <v>3</v>
      </c>
      <c r="C183" t="s">
        <v>77</v>
      </c>
      <c r="D183" s="2">
        <v>200</v>
      </c>
      <c r="E183" s="2">
        <v>300</v>
      </c>
      <c r="F183">
        <v>8</v>
      </c>
      <c r="G183">
        <v>2</v>
      </c>
      <c r="H183">
        <f t="shared" si="0"/>
        <v>6</v>
      </c>
      <c r="I183" s="1">
        <v>44926</v>
      </c>
      <c r="J183" t="s">
        <v>38</v>
      </c>
    </row>
    <row r="184" spans="1:10" x14ac:dyDescent="0.25">
      <c r="A184" t="s">
        <v>23</v>
      </c>
      <c r="B184" t="s">
        <v>3</v>
      </c>
      <c r="C184" t="s">
        <v>52</v>
      </c>
      <c r="D184" s="2">
        <v>150</v>
      </c>
      <c r="E184" s="2">
        <v>250</v>
      </c>
      <c r="F184">
        <v>6</v>
      </c>
      <c r="G184">
        <v>3</v>
      </c>
      <c r="H184">
        <f t="shared" si="0"/>
        <v>3</v>
      </c>
      <c r="I184" s="1">
        <v>44926</v>
      </c>
      <c r="J184" t="s">
        <v>38</v>
      </c>
    </row>
    <row r="185" spans="1:10" x14ac:dyDescent="0.25">
      <c r="A185" t="s">
        <v>9</v>
      </c>
      <c r="B185" t="s">
        <v>3</v>
      </c>
      <c r="C185" t="s">
        <v>53</v>
      </c>
      <c r="D185" s="2">
        <v>100</v>
      </c>
      <c r="E185" s="2">
        <v>200</v>
      </c>
      <c r="F185">
        <v>15</v>
      </c>
      <c r="G185">
        <v>8</v>
      </c>
      <c r="H185">
        <f t="shared" si="0"/>
        <v>7</v>
      </c>
      <c r="I185" s="1">
        <v>44926</v>
      </c>
      <c r="J185" t="s">
        <v>38</v>
      </c>
    </row>
    <row r="186" spans="1:10" x14ac:dyDescent="0.25">
      <c r="A186" t="s">
        <v>2</v>
      </c>
      <c r="B186" t="s">
        <v>12</v>
      </c>
      <c r="C186" t="s">
        <v>49</v>
      </c>
      <c r="D186" s="2">
        <v>250</v>
      </c>
      <c r="E186" s="2">
        <v>350</v>
      </c>
      <c r="F186">
        <v>15</v>
      </c>
      <c r="G186">
        <v>4</v>
      </c>
      <c r="H186">
        <f t="shared" si="0"/>
        <v>11</v>
      </c>
      <c r="I186" s="1">
        <v>44926</v>
      </c>
      <c r="J186" t="s">
        <v>38</v>
      </c>
    </row>
    <row r="187" spans="1:10" x14ac:dyDescent="0.25">
      <c r="A187" t="s">
        <v>7</v>
      </c>
      <c r="B187" t="s">
        <v>12</v>
      </c>
      <c r="C187" t="s">
        <v>54</v>
      </c>
      <c r="D187" s="2">
        <v>300</v>
      </c>
      <c r="E187" s="2">
        <v>400</v>
      </c>
      <c r="F187">
        <v>2</v>
      </c>
      <c r="G187">
        <v>1</v>
      </c>
      <c r="H187">
        <f t="shared" si="0"/>
        <v>1</v>
      </c>
      <c r="I187" s="1">
        <v>44926</v>
      </c>
      <c r="J187" t="s">
        <v>38</v>
      </c>
    </row>
    <row r="188" spans="1:10" x14ac:dyDescent="0.25">
      <c r="A188" t="s">
        <v>8</v>
      </c>
      <c r="B188" t="s">
        <v>12</v>
      </c>
      <c r="C188" t="s">
        <v>55</v>
      </c>
      <c r="D188" s="2">
        <v>250</v>
      </c>
      <c r="E188" s="2">
        <v>350</v>
      </c>
      <c r="F188">
        <v>6</v>
      </c>
      <c r="G188">
        <v>1</v>
      </c>
      <c r="H188">
        <f t="shared" si="0"/>
        <v>5</v>
      </c>
      <c r="I188" s="1">
        <v>44926</v>
      </c>
      <c r="J188" t="s">
        <v>38</v>
      </c>
    </row>
    <row r="189" spans="1:10" x14ac:dyDescent="0.25">
      <c r="A189" t="s">
        <v>9</v>
      </c>
      <c r="B189" t="s">
        <v>12</v>
      </c>
      <c r="C189" t="s">
        <v>56</v>
      </c>
      <c r="D189" s="2">
        <v>250</v>
      </c>
      <c r="E189" s="2">
        <v>350</v>
      </c>
      <c r="F189">
        <v>13</v>
      </c>
      <c r="G189">
        <v>2</v>
      </c>
      <c r="H189">
        <f t="shared" si="0"/>
        <v>11</v>
      </c>
      <c r="I189" s="1">
        <v>44926</v>
      </c>
      <c r="J189" t="s">
        <v>38</v>
      </c>
    </row>
    <row r="190" spans="1:10" x14ac:dyDescent="0.25">
      <c r="A190" t="s">
        <v>13</v>
      </c>
      <c r="B190" t="s">
        <v>12</v>
      </c>
      <c r="C190" t="s">
        <v>57</v>
      </c>
      <c r="D190" s="2">
        <v>300</v>
      </c>
      <c r="E190" s="2">
        <v>450</v>
      </c>
      <c r="F190">
        <v>6</v>
      </c>
      <c r="G190">
        <v>3</v>
      </c>
      <c r="H190">
        <f t="shared" si="0"/>
        <v>3</v>
      </c>
      <c r="I190" s="1">
        <v>44926</v>
      </c>
      <c r="J190" t="s">
        <v>38</v>
      </c>
    </row>
    <row r="191" spans="1:10" x14ac:dyDescent="0.25">
      <c r="A191" t="s">
        <v>14</v>
      </c>
      <c r="B191" t="s">
        <v>16</v>
      </c>
      <c r="C191" t="s">
        <v>50</v>
      </c>
      <c r="D191" s="2">
        <v>320</v>
      </c>
      <c r="E191" s="2">
        <v>400</v>
      </c>
      <c r="F191">
        <v>2</v>
      </c>
      <c r="G191">
        <v>0</v>
      </c>
      <c r="H191">
        <f t="shared" si="0"/>
        <v>2</v>
      </c>
      <c r="I191" s="1">
        <v>44926</v>
      </c>
      <c r="J191" t="s">
        <v>38</v>
      </c>
    </row>
    <row r="192" spans="1:10" x14ac:dyDescent="0.25">
      <c r="A192" t="s">
        <v>15</v>
      </c>
      <c r="B192" t="s">
        <v>16</v>
      </c>
      <c r="C192" t="s">
        <v>58</v>
      </c>
      <c r="D192" s="2">
        <v>100</v>
      </c>
      <c r="E192" s="2">
        <v>150</v>
      </c>
      <c r="F192">
        <v>10</v>
      </c>
      <c r="G192">
        <v>3</v>
      </c>
      <c r="H192">
        <f t="shared" si="0"/>
        <v>7</v>
      </c>
      <c r="I192" s="1">
        <v>44926</v>
      </c>
      <c r="J192" t="s">
        <v>38</v>
      </c>
    </row>
    <row r="193" spans="1:10" x14ac:dyDescent="0.25">
      <c r="A193" t="s">
        <v>2</v>
      </c>
      <c r="B193" t="s">
        <v>21</v>
      </c>
      <c r="C193" t="s">
        <v>51</v>
      </c>
      <c r="D193" s="2">
        <v>25</v>
      </c>
      <c r="E193" s="2">
        <v>40</v>
      </c>
      <c r="F193">
        <v>6</v>
      </c>
      <c r="G193">
        <v>0</v>
      </c>
      <c r="H193">
        <f t="shared" si="0"/>
        <v>6</v>
      </c>
      <c r="I193" s="1">
        <v>44926</v>
      </c>
      <c r="J193" t="s">
        <v>38</v>
      </c>
    </row>
    <row r="194" spans="1:10" x14ac:dyDescent="0.25">
      <c r="A194" t="s">
        <v>7</v>
      </c>
      <c r="B194" t="s">
        <v>21</v>
      </c>
      <c r="C194" t="s">
        <v>59</v>
      </c>
      <c r="D194" s="2">
        <v>30</v>
      </c>
      <c r="E194" s="2">
        <v>50</v>
      </c>
      <c r="F194">
        <v>7</v>
      </c>
      <c r="G194">
        <v>4</v>
      </c>
      <c r="H194">
        <f t="shared" si="0"/>
        <v>3</v>
      </c>
      <c r="I194" s="1">
        <v>44926</v>
      </c>
      <c r="J194" t="s">
        <v>38</v>
      </c>
    </row>
    <row r="195" spans="1:10" x14ac:dyDescent="0.25">
      <c r="A195" t="s">
        <v>9</v>
      </c>
      <c r="B195" t="s">
        <v>21</v>
      </c>
      <c r="C195" t="s">
        <v>60</v>
      </c>
      <c r="D195" s="2">
        <v>25</v>
      </c>
      <c r="E195" s="2">
        <v>40</v>
      </c>
      <c r="F195">
        <v>8</v>
      </c>
      <c r="G195">
        <v>0</v>
      </c>
      <c r="H195">
        <f t="shared" si="0"/>
        <v>8</v>
      </c>
      <c r="I195" s="1">
        <v>44926</v>
      </c>
      <c r="J195" t="s">
        <v>38</v>
      </c>
    </row>
    <row r="196" spans="1:10" x14ac:dyDescent="0.25">
      <c r="A196" t="s">
        <v>23</v>
      </c>
      <c r="B196" t="s">
        <v>21</v>
      </c>
      <c r="C196" t="s">
        <v>61</v>
      </c>
      <c r="D196" s="2">
        <v>25</v>
      </c>
      <c r="E196" s="2">
        <v>40</v>
      </c>
      <c r="F196">
        <v>10</v>
      </c>
      <c r="G196">
        <v>0</v>
      </c>
      <c r="H196">
        <f t="shared" si="0"/>
        <v>10</v>
      </c>
      <c r="I196" s="1">
        <v>44926</v>
      </c>
      <c r="J196" t="s">
        <v>38</v>
      </c>
    </row>
    <row r="197" spans="1:10" x14ac:dyDescent="0.25">
      <c r="A197" t="s">
        <v>13</v>
      </c>
      <c r="B197" t="s">
        <v>21</v>
      </c>
      <c r="C197" t="s">
        <v>62</v>
      </c>
      <c r="D197" s="2">
        <v>30</v>
      </c>
      <c r="E197" s="2">
        <v>55</v>
      </c>
      <c r="F197">
        <v>5</v>
      </c>
      <c r="G197">
        <v>3</v>
      </c>
      <c r="H197">
        <f t="shared" si="0"/>
        <v>2</v>
      </c>
      <c r="I197" s="1">
        <v>44926</v>
      </c>
      <c r="J197" t="s">
        <v>38</v>
      </c>
    </row>
    <row r="198" spans="1:10" x14ac:dyDescent="0.25">
      <c r="A198" t="s">
        <v>17</v>
      </c>
      <c r="B198" t="s">
        <v>21</v>
      </c>
      <c r="C198" t="s">
        <v>63</v>
      </c>
      <c r="D198" s="2">
        <v>40</v>
      </c>
      <c r="E198" s="2">
        <v>65</v>
      </c>
      <c r="F198">
        <v>10</v>
      </c>
      <c r="G198">
        <v>6</v>
      </c>
      <c r="H198">
        <f t="shared" si="0"/>
        <v>4</v>
      </c>
      <c r="I198" s="1">
        <v>44926</v>
      </c>
      <c r="J198" t="s">
        <v>38</v>
      </c>
    </row>
    <row r="199" spans="1:10" x14ac:dyDescent="0.25">
      <c r="A199" t="s">
        <v>34</v>
      </c>
      <c r="B199" t="s">
        <v>21</v>
      </c>
      <c r="C199" t="s">
        <v>64</v>
      </c>
      <c r="D199" s="2">
        <v>50</v>
      </c>
      <c r="E199" s="2">
        <v>70</v>
      </c>
      <c r="F199">
        <v>1</v>
      </c>
      <c r="G199">
        <v>0</v>
      </c>
      <c r="H199">
        <f t="shared" si="0"/>
        <v>1</v>
      </c>
      <c r="I199" s="1">
        <v>44926</v>
      </c>
      <c r="J199" t="s">
        <v>38</v>
      </c>
    </row>
    <row r="200" spans="1:10" x14ac:dyDescent="0.25">
      <c r="A200" t="s">
        <v>18</v>
      </c>
      <c r="B200" t="s">
        <v>21</v>
      </c>
      <c r="C200" t="s">
        <v>65</v>
      </c>
      <c r="D200" s="2">
        <v>20</v>
      </c>
      <c r="E200" s="2">
        <v>30</v>
      </c>
      <c r="F200">
        <v>1</v>
      </c>
      <c r="G200">
        <v>0</v>
      </c>
      <c r="H200">
        <f t="shared" si="0"/>
        <v>1</v>
      </c>
      <c r="I200" s="1">
        <v>44926</v>
      </c>
      <c r="J200" t="s">
        <v>38</v>
      </c>
    </row>
    <row r="201" spans="1:10" x14ac:dyDescent="0.25">
      <c r="A201" t="s">
        <v>19</v>
      </c>
      <c r="B201" t="s">
        <v>21</v>
      </c>
      <c r="C201" t="s">
        <v>66</v>
      </c>
      <c r="D201" s="2">
        <v>10</v>
      </c>
      <c r="E201" s="2">
        <v>20</v>
      </c>
      <c r="F201">
        <v>4</v>
      </c>
      <c r="G201">
        <v>4</v>
      </c>
      <c r="H201">
        <f t="shared" si="0"/>
        <v>0</v>
      </c>
      <c r="I201" s="1">
        <v>44926</v>
      </c>
      <c r="J201" t="s">
        <v>38</v>
      </c>
    </row>
    <row r="202" spans="1:10" x14ac:dyDescent="0.25">
      <c r="A202" t="s">
        <v>20</v>
      </c>
      <c r="B202" t="s">
        <v>21</v>
      </c>
      <c r="C202" t="s">
        <v>67</v>
      </c>
      <c r="D202" s="2">
        <v>60</v>
      </c>
      <c r="E202" s="2">
        <v>100</v>
      </c>
      <c r="F202">
        <v>6</v>
      </c>
      <c r="G202">
        <v>6</v>
      </c>
      <c r="H202">
        <f t="shared" si="0"/>
        <v>0</v>
      </c>
      <c r="I202" s="1">
        <v>44926</v>
      </c>
      <c r="J202" t="s">
        <v>38</v>
      </c>
    </row>
    <row r="203" spans="1:10" x14ac:dyDescent="0.25">
      <c r="A203" t="s">
        <v>22</v>
      </c>
      <c r="B203" t="s">
        <v>24</v>
      </c>
      <c r="C203" t="s">
        <v>68</v>
      </c>
      <c r="D203" s="2">
        <v>50</v>
      </c>
      <c r="E203" s="2">
        <v>70</v>
      </c>
      <c r="F203">
        <v>5</v>
      </c>
      <c r="G203">
        <v>0</v>
      </c>
      <c r="H203">
        <f t="shared" si="0"/>
        <v>5</v>
      </c>
      <c r="I203" s="1">
        <v>44926</v>
      </c>
      <c r="J203" t="s">
        <v>38</v>
      </c>
    </row>
    <row r="204" spans="1:10" x14ac:dyDescent="0.25">
      <c r="A204" t="s">
        <v>25</v>
      </c>
      <c r="B204" t="s">
        <v>24</v>
      </c>
      <c r="C204" t="s">
        <v>69</v>
      </c>
      <c r="D204" s="2">
        <v>45</v>
      </c>
      <c r="E204" s="2">
        <v>65</v>
      </c>
      <c r="F204">
        <v>4</v>
      </c>
      <c r="G204">
        <v>4</v>
      </c>
      <c r="H204">
        <f t="shared" si="0"/>
        <v>0</v>
      </c>
      <c r="I204" s="1">
        <v>44926</v>
      </c>
      <c r="J204" t="s">
        <v>38</v>
      </c>
    </row>
    <row r="205" spans="1:10" x14ac:dyDescent="0.25">
      <c r="A205" t="s">
        <v>26</v>
      </c>
      <c r="B205" t="s">
        <v>24</v>
      </c>
      <c r="C205" t="s">
        <v>70</v>
      </c>
      <c r="D205" s="2">
        <v>50</v>
      </c>
      <c r="E205" s="2">
        <v>70</v>
      </c>
      <c r="F205">
        <v>3</v>
      </c>
      <c r="G205">
        <v>3</v>
      </c>
      <c r="H205">
        <f t="shared" si="0"/>
        <v>0</v>
      </c>
      <c r="I205" s="1">
        <v>44926</v>
      </c>
      <c r="J205" t="s">
        <v>38</v>
      </c>
    </row>
    <row r="206" spans="1:10" x14ac:dyDescent="0.25">
      <c r="A206" t="s">
        <v>27</v>
      </c>
      <c r="B206" t="s">
        <v>24</v>
      </c>
      <c r="C206" t="s">
        <v>71</v>
      </c>
      <c r="D206" s="2">
        <v>10</v>
      </c>
      <c r="E206" s="2">
        <v>15</v>
      </c>
      <c r="F206">
        <v>20</v>
      </c>
      <c r="G206">
        <v>3</v>
      </c>
      <c r="H206">
        <f t="shared" si="0"/>
        <v>17</v>
      </c>
      <c r="I206" s="1">
        <v>44926</v>
      </c>
      <c r="J206" t="s">
        <v>38</v>
      </c>
    </row>
    <row r="207" spans="1:10" x14ac:dyDescent="0.25">
      <c r="A207" t="s">
        <v>28</v>
      </c>
      <c r="B207" t="s">
        <v>24</v>
      </c>
      <c r="C207" t="s">
        <v>72</v>
      </c>
      <c r="D207" s="2">
        <v>20</v>
      </c>
      <c r="E207" s="2">
        <v>25</v>
      </c>
      <c r="F207">
        <v>22</v>
      </c>
      <c r="G207">
        <v>2</v>
      </c>
      <c r="H207">
        <f t="shared" si="0"/>
        <v>20</v>
      </c>
      <c r="I207" s="1">
        <v>44926</v>
      </c>
      <c r="J207" t="s">
        <v>38</v>
      </c>
    </row>
    <row r="208" spans="1:10" x14ac:dyDescent="0.25">
      <c r="A208" t="s">
        <v>29</v>
      </c>
      <c r="B208" t="s">
        <v>30</v>
      </c>
      <c r="C208" t="s">
        <v>73</v>
      </c>
      <c r="D208" s="2">
        <v>25</v>
      </c>
      <c r="E208" s="2">
        <v>30</v>
      </c>
      <c r="F208">
        <v>35</v>
      </c>
      <c r="G208">
        <v>18</v>
      </c>
      <c r="H208">
        <f t="shared" si="0"/>
        <v>17</v>
      </c>
      <c r="I208" s="1">
        <v>44926</v>
      </c>
      <c r="J208" t="s">
        <v>38</v>
      </c>
    </row>
    <row r="209" spans="1:10" x14ac:dyDescent="0.25">
      <c r="A209" t="s">
        <v>31</v>
      </c>
      <c r="B209" t="s">
        <v>30</v>
      </c>
      <c r="C209" t="s">
        <v>74</v>
      </c>
      <c r="D209" s="2">
        <v>25</v>
      </c>
      <c r="E209" s="2">
        <v>30</v>
      </c>
      <c r="F209">
        <v>17</v>
      </c>
      <c r="G209">
        <v>10</v>
      </c>
      <c r="H209">
        <f t="shared" si="0"/>
        <v>7</v>
      </c>
      <c r="I209" s="1">
        <v>44926</v>
      </c>
      <c r="J209" t="s">
        <v>38</v>
      </c>
    </row>
    <row r="210" spans="1:10" x14ac:dyDescent="0.25">
      <c r="A210" t="s">
        <v>32</v>
      </c>
      <c r="B210" t="s">
        <v>30</v>
      </c>
      <c r="C210" t="s">
        <v>75</v>
      </c>
      <c r="D210" s="2">
        <v>25</v>
      </c>
      <c r="E210" s="2">
        <v>30</v>
      </c>
      <c r="F210">
        <v>25</v>
      </c>
      <c r="G210">
        <v>11</v>
      </c>
      <c r="H210">
        <f t="shared" si="0"/>
        <v>14</v>
      </c>
      <c r="I210" s="1">
        <v>44926</v>
      </c>
      <c r="J210" t="s">
        <v>38</v>
      </c>
    </row>
    <row r="211" spans="1:10" x14ac:dyDescent="0.25">
      <c r="A211" t="s">
        <v>33</v>
      </c>
      <c r="B211" t="s">
        <v>30</v>
      </c>
      <c r="C211" t="s">
        <v>76</v>
      </c>
      <c r="D211" s="2">
        <v>30</v>
      </c>
      <c r="E211" s="2">
        <v>35</v>
      </c>
      <c r="F211">
        <v>13</v>
      </c>
      <c r="G211">
        <v>7</v>
      </c>
      <c r="H211">
        <f t="shared" si="0"/>
        <v>6</v>
      </c>
      <c r="I211" s="1">
        <v>44926</v>
      </c>
      <c r="J211" t="s">
        <v>38</v>
      </c>
    </row>
    <row r="212" spans="1:10" x14ac:dyDescent="0.25">
      <c r="A212" t="s">
        <v>2</v>
      </c>
      <c r="B212" t="s">
        <v>3</v>
      </c>
      <c r="C212" t="s">
        <v>48</v>
      </c>
      <c r="D212" s="2">
        <v>100</v>
      </c>
      <c r="E212" s="2">
        <v>200</v>
      </c>
      <c r="F212">
        <v>5</v>
      </c>
      <c r="G212">
        <v>0</v>
      </c>
      <c r="H212">
        <f t="shared" si="0"/>
        <v>5</v>
      </c>
      <c r="I212" s="1">
        <v>44927</v>
      </c>
      <c r="J212" t="s">
        <v>6</v>
      </c>
    </row>
    <row r="213" spans="1:10" x14ac:dyDescent="0.25">
      <c r="A213" t="s">
        <v>7</v>
      </c>
      <c r="B213" t="s">
        <v>3</v>
      </c>
      <c r="C213" t="s">
        <v>77</v>
      </c>
      <c r="D213" s="2">
        <v>200</v>
      </c>
      <c r="E213" s="2">
        <v>300</v>
      </c>
      <c r="F213">
        <v>2</v>
      </c>
      <c r="G213">
        <v>0</v>
      </c>
      <c r="H213">
        <f t="shared" si="0"/>
        <v>2</v>
      </c>
      <c r="I213" s="1">
        <v>44927</v>
      </c>
      <c r="J213" t="s">
        <v>6</v>
      </c>
    </row>
    <row r="214" spans="1:10" x14ac:dyDescent="0.25">
      <c r="A214" t="s">
        <v>23</v>
      </c>
      <c r="B214" t="s">
        <v>3</v>
      </c>
      <c r="C214" t="s">
        <v>52</v>
      </c>
      <c r="D214" s="2">
        <v>150</v>
      </c>
      <c r="E214" s="2">
        <v>250</v>
      </c>
      <c r="F214">
        <v>3</v>
      </c>
      <c r="G214">
        <v>0</v>
      </c>
      <c r="H214">
        <f t="shared" si="0"/>
        <v>3</v>
      </c>
      <c r="I214" s="1">
        <v>44927</v>
      </c>
      <c r="J214" t="s">
        <v>6</v>
      </c>
    </row>
    <row r="215" spans="1:10" x14ac:dyDescent="0.25">
      <c r="A215" t="s">
        <v>9</v>
      </c>
      <c r="B215" t="s">
        <v>3</v>
      </c>
      <c r="C215" t="s">
        <v>53</v>
      </c>
      <c r="D215" s="2">
        <v>100</v>
      </c>
      <c r="E215" s="2">
        <v>200</v>
      </c>
      <c r="F215">
        <v>8</v>
      </c>
      <c r="G215">
        <v>0</v>
      </c>
      <c r="H215">
        <f t="shared" si="0"/>
        <v>8</v>
      </c>
      <c r="I215" s="1">
        <v>44927</v>
      </c>
      <c r="J215" t="s">
        <v>6</v>
      </c>
    </row>
    <row r="216" spans="1:10" x14ac:dyDescent="0.25">
      <c r="A216" t="s">
        <v>2</v>
      </c>
      <c r="B216" t="s">
        <v>12</v>
      </c>
      <c r="C216" t="s">
        <v>49</v>
      </c>
      <c r="D216" s="2">
        <v>250</v>
      </c>
      <c r="E216" s="2">
        <v>350</v>
      </c>
      <c r="F216">
        <v>4</v>
      </c>
      <c r="G216">
        <v>1</v>
      </c>
      <c r="H216">
        <f t="shared" si="0"/>
        <v>3</v>
      </c>
      <c r="I216" s="1">
        <v>44927</v>
      </c>
      <c r="J216" t="s">
        <v>6</v>
      </c>
    </row>
    <row r="217" spans="1:10" x14ac:dyDescent="0.25">
      <c r="A217" t="s">
        <v>7</v>
      </c>
      <c r="B217" t="s">
        <v>12</v>
      </c>
      <c r="C217" t="s">
        <v>54</v>
      </c>
      <c r="D217" s="2">
        <v>300</v>
      </c>
      <c r="E217" s="2">
        <v>400</v>
      </c>
      <c r="F217">
        <v>1</v>
      </c>
      <c r="G217">
        <v>0</v>
      </c>
      <c r="H217">
        <f t="shared" si="0"/>
        <v>1</v>
      </c>
      <c r="I217" s="1">
        <v>44927</v>
      </c>
      <c r="J217" t="s">
        <v>6</v>
      </c>
    </row>
    <row r="218" spans="1:10" x14ac:dyDescent="0.25">
      <c r="A218" t="s">
        <v>8</v>
      </c>
      <c r="B218" t="s">
        <v>12</v>
      </c>
      <c r="C218" t="s">
        <v>55</v>
      </c>
      <c r="D218" s="2">
        <v>250</v>
      </c>
      <c r="E218" s="2">
        <v>350</v>
      </c>
      <c r="F218">
        <v>1</v>
      </c>
      <c r="G218">
        <v>1</v>
      </c>
      <c r="H218">
        <f t="shared" si="0"/>
        <v>0</v>
      </c>
      <c r="I218" s="1">
        <v>44927</v>
      </c>
      <c r="J218" t="s">
        <v>6</v>
      </c>
    </row>
    <row r="219" spans="1:10" x14ac:dyDescent="0.25">
      <c r="A219" t="s">
        <v>9</v>
      </c>
      <c r="B219" t="s">
        <v>12</v>
      </c>
      <c r="C219" t="s">
        <v>56</v>
      </c>
      <c r="D219" s="2">
        <v>250</v>
      </c>
      <c r="E219" s="2">
        <v>350</v>
      </c>
      <c r="F219">
        <v>2</v>
      </c>
      <c r="G219">
        <v>0</v>
      </c>
      <c r="H219">
        <f t="shared" si="0"/>
        <v>2</v>
      </c>
      <c r="I219" s="1">
        <v>44927</v>
      </c>
      <c r="J219" t="s">
        <v>6</v>
      </c>
    </row>
    <row r="220" spans="1:10" x14ac:dyDescent="0.25">
      <c r="A220" t="s">
        <v>13</v>
      </c>
      <c r="B220" t="s">
        <v>12</v>
      </c>
      <c r="C220" t="s">
        <v>57</v>
      </c>
      <c r="D220" s="2">
        <v>300</v>
      </c>
      <c r="E220" s="2">
        <v>450</v>
      </c>
      <c r="F220">
        <v>3</v>
      </c>
      <c r="G220">
        <v>1</v>
      </c>
      <c r="H220">
        <f t="shared" si="0"/>
        <v>2</v>
      </c>
      <c r="I220" s="1">
        <v>44927</v>
      </c>
      <c r="J220" t="s">
        <v>6</v>
      </c>
    </row>
    <row r="221" spans="1:10" x14ac:dyDescent="0.25">
      <c r="A221" t="s">
        <v>14</v>
      </c>
      <c r="B221" t="s">
        <v>16</v>
      </c>
      <c r="C221" t="s">
        <v>50</v>
      </c>
      <c r="D221" s="2">
        <v>320</v>
      </c>
      <c r="E221" s="2">
        <v>400</v>
      </c>
      <c r="F221">
        <v>0</v>
      </c>
      <c r="G221">
        <v>0</v>
      </c>
      <c r="H221">
        <f t="shared" si="0"/>
        <v>0</v>
      </c>
      <c r="I221" s="1">
        <v>44927</v>
      </c>
      <c r="J221" t="s">
        <v>6</v>
      </c>
    </row>
    <row r="222" spans="1:10" x14ac:dyDescent="0.25">
      <c r="A222" t="s">
        <v>15</v>
      </c>
      <c r="B222" t="s">
        <v>16</v>
      </c>
      <c r="C222" t="s">
        <v>58</v>
      </c>
      <c r="D222" s="2">
        <v>100</v>
      </c>
      <c r="E222" s="2">
        <v>150</v>
      </c>
      <c r="F222">
        <v>3</v>
      </c>
      <c r="G222">
        <v>2</v>
      </c>
      <c r="H222">
        <f t="shared" si="0"/>
        <v>1</v>
      </c>
      <c r="I222" s="1">
        <v>44927</v>
      </c>
      <c r="J222" t="s">
        <v>6</v>
      </c>
    </row>
    <row r="223" spans="1:10" x14ac:dyDescent="0.25">
      <c r="A223" t="s">
        <v>2</v>
      </c>
      <c r="B223" t="s">
        <v>21</v>
      </c>
      <c r="C223" t="s">
        <v>51</v>
      </c>
      <c r="D223" s="2">
        <v>25</v>
      </c>
      <c r="E223" s="2">
        <v>40</v>
      </c>
      <c r="F223">
        <v>0</v>
      </c>
      <c r="G223">
        <v>0</v>
      </c>
      <c r="H223">
        <f t="shared" si="0"/>
        <v>0</v>
      </c>
      <c r="I223" s="1">
        <v>44927</v>
      </c>
      <c r="J223" t="s">
        <v>6</v>
      </c>
    </row>
    <row r="224" spans="1:10" x14ac:dyDescent="0.25">
      <c r="A224" t="s">
        <v>7</v>
      </c>
      <c r="B224" t="s">
        <v>21</v>
      </c>
      <c r="C224" t="s">
        <v>59</v>
      </c>
      <c r="D224" s="2">
        <v>30</v>
      </c>
      <c r="E224" s="2">
        <v>50</v>
      </c>
      <c r="F224">
        <v>4</v>
      </c>
      <c r="G224">
        <v>4</v>
      </c>
      <c r="H224">
        <f t="shared" si="0"/>
        <v>0</v>
      </c>
      <c r="I224" s="1">
        <v>44927</v>
      </c>
      <c r="J224" t="s">
        <v>6</v>
      </c>
    </row>
    <row r="225" spans="1:10" x14ac:dyDescent="0.25">
      <c r="A225" t="s">
        <v>9</v>
      </c>
      <c r="B225" t="s">
        <v>21</v>
      </c>
      <c r="C225" t="s">
        <v>60</v>
      </c>
      <c r="D225" s="2">
        <v>25</v>
      </c>
      <c r="E225" s="2">
        <v>40</v>
      </c>
      <c r="F225">
        <v>0</v>
      </c>
      <c r="G225">
        <v>0</v>
      </c>
      <c r="H225">
        <f t="shared" si="0"/>
        <v>0</v>
      </c>
      <c r="I225" s="1">
        <v>44927</v>
      </c>
      <c r="J225" t="s">
        <v>6</v>
      </c>
    </row>
    <row r="226" spans="1:10" x14ac:dyDescent="0.25">
      <c r="A226" t="s">
        <v>23</v>
      </c>
      <c r="B226" t="s">
        <v>21</v>
      </c>
      <c r="C226" t="s">
        <v>61</v>
      </c>
      <c r="D226" s="2">
        <v>25</v>
      </c>
      <c r="E226" s="2">
        <v>40</v>
      </c>
      <c r="F226">
        <v>0</v>
      </c>
      <c r="G226">
        <v>0</v>
      </c>
      <c r="H226">
        <f t="shared" si="0"/>
        <v>0</v>
      </c>
      <c r="I226" s="1">
        <v>44927</v>
      </c>
      <c r="J226" t="s">
        <v>6</v>
      </c>
    </row>
    <row r="227" spans="1:10" x14ac:dyDescent="0.25">
      <c r="A227" t="s">
        <v>13</v>
      </c>
      <c r="B227" t="s">
        <v>21</v>
      </c>
      <c r="C227" t="s">
        <v>62</v>
      </c>
      <c r="D227" s="2">
        <v>30</v>
      </c>
      <c r="E227" s="2">
        <v>55</v>
      </c>
      <c r="F227">
        <v>3</v>
      </c>
      <c r="G227">
        <v>3</v>
      </c>
      <c r="H227">
        <f t="shared" si="0"/>
        <v>0</v>
      </c>
      <c r="I227" s="1">
        <v>44927</v>
      </c>
      <c r="J227" t="s">
        <v>6</v>
      </c>
    </row>
    <row r="228" spans="1:10" x14ac:dyDescent="0.25">
      <c r="A228" t="s">
        <v>17</v>
      </c>
      <c r="B228" t="s">
        <v>21</v>
      </c>
      <c r="C228" t="s">
        <v>63</v>
      </c>
      <c r="D228" s="2">
        <v>40</v>
      </c>
      <c r="E228" s="2">
        <v>65</v>
      </c>
      <c r="F228">
        <v>6</v>
      </c>
      <c r="G228">
        <v>6</v>
      </c>
      <c r="H228">
        <f t="shared" si="0"/>
        <v>0</v>
      </c>
      <c r="I228" s="1">
        <v>44927</v>
      </c>
      <c r="J228" t="s">
        <v>6</v>
      </c>
    </row>
    <row r="229" spans="1:10" x14ac:dyDescent="0.25">
      <c r="A229" t="s">
        <v>34</v>
      </c>
      <c r="B229" t="s">
        <v>21</v>
      </c>
      <c r="C229" t="s">
        <v>64</v>
      </c>
      <c r="D229" s="2">
        <v>50</v>
      </c>
      <c r="E229" s="2">
        <v>70</v>
      </c>
      <c r="F229">
        <v>0</v>
      </c>
      <c r="G229">
        <v>0</v>
      </c>
      <c r="H229">
        <f t="shared" si="0"/>
        <v>0</v>
      </c>
      <c r="I229" s="1">
        <v>44927</v>
      </c>
      <c r="J229" t="s">
        <v>6</v>
      </c>
    </row>
    <row r="230" spans="1:10" x14ac:dyDescent="0.25">
      <c r="A230" t="s">
        <v>18</v>
      </c>
      <c r="B230" t="s">
        <v>21</v>
      </c>
      <c r="C230" t="s">
        <v>65</v>
      </c>
      <c r="D230" s="2">
        <v>20</v>
      </c>
      <c r="E230" s="2">
        <v>30</v>
      </c>
      <c r="F230">
        <v>0</v>
      </c>
      <c r="G230">
        <v>0</v>
      </c>
      <c r="H230">
        <f t="shared" si="0"/>
        <v>0</v>
      </c>
      <c r="I230" s="1">
        <v>44927</v>
      </c>
      <c r="J230" t="s">
        <v>6</v>
      </c>
    </row>
    <row r="231" spans="1:10" x14ac:dyDescent="0.25">
      <c r="A231" t="s">
        <v>19</v>
      </c>
      <c r="B231" t="s">
        <v>21</v>
      </c>
      <c r="C231" t="s">
        <v>66</v>
      </c>
      <c r="D231" s="2">
        <v>10</v>
      </c>
      <c r="E231" s="2">
        <v>20</v>
      </c>
      <c r="F231">
        <v>4</v>
      </c>
      <c r="G231">
        <v>4</v>
      </c>
      <c r="H231">
        <f t="shared" si="0"/>
        <v>0</v>
      </c>
      <c r="I231" s="1">
        <v>44927</v>
      </c>
      <c r="J231" t="s">
        <v>6</v>
      </c>
    </row>
    <row r="232" spans="1:10" x14ac:dyDescent="0.25">
      <c r="A232" t="s">
        <v>20</v>
      </c>
      <c r="B232" t="s">
        <v>21</v>
      </c>
      <c r="C232" t="s">
        <v>67</v>
      </c>
      <c r="D232" s="2">
        <v>60</v>
      </c>
      <c r="E232" s="2">
        <v>100</v>
      </c>
      <c r="F232">
        <v>6</v>
      </c>
      <c r="G232">
        <v>6</v>
      </c>
      <c r="H232">
        <f t="shared" si="0"/>
        <v>0</v>
      </c>
      <c r="I232" s="1">
        <v>44927</v>
      </c>
      <c r="J232" t="s">
        <v>6</v>
      </c>
    </row>
    <row r="233" spans="1:10" x14ac:dyDescent="0.25">
      <c r="A233" t="s">
        <v>22</v>
      </c>
      <c r="B233" t="s">
        <v>24</v>
      </c>
      <c r="C233" t="s">
        <v>68</v>
      </c>
      <c r="D233" s="2">
        <v>50</v>
      </c>
      <c r="E233" s="2">
        <v>70</v>
      </c>
      <c r="F233">
        <v>0</v>
      </c>
      <c r="G233">
        <v>0</v>
      </c>
      <c r="H233">
        <f t="shared" si="0"/>
        <v>0</v>
      </c>
      <c r="I233" s="1">
        <v>44927</v>
      </c>
      <c r="J233" t="s">
        <v>6</v>
      </c>
    </row>
    <row r="234" spans="1:10" x14ac:dyDescent="0.25">
      <c r="A234" t="s">
        <v>25</v>
      </c>
      <c r="B234" t="s">
        <v>24</v>
      </c>
      <c r="C234" t="s">
        <v>69</v>
      </c>
      <c r="D234" s="2">
        <v>45</v>
      </c>
      <c r="E234" s="2">
        <v>65</v>
      </c>
      <c r="F234">
        <v>4</v>
      </c>
      <c r="G234">
        <v>4</v>
      </c>
      <c r="H234">
        <f t="shared" si="0"/>
        <v>0</v>
      </c>
      <c r="I234" s="1">
        <v>44927</v>
      </c>
      <c r="J234" t="s">
        <v>6</v>
      </c>
    </row>
    <row r="235" spans="1:10" x14ac:dyDescent="0.25">
      <c r="A235" t="s">
        <v>26</v>
      </c>
      <c r="B235" t="s">
        <v>24</v>
      </c>
      <c r="C235" t="s">
        <v>70</v>
      </c>
      <c r="D235" s="2">
        <v>50</v>
      </c>
      <c r="E235" s="2">
        <v>70</v>
      </c>
      <c r="F235">
        <v>3</v>
      </c>
      <c r="G235">
        <v>3</v>
      </c>
      <c r="H235">
        <f t="shared" si="0"/>
        <v>0</v>
      </c>
      <c r="I235" s="1">
        <v>44927</v>
      </c>
      <c r="J235" t="s">
        <v>6</v>
      </c>
    </row>
    <row r="236" spans="1:10" x14ac:dyDescent="0.25">
      <c r="A236" t="s">
        <v>27</v>
      </c>
      <c r="B236" t="s">
        <v>24</v>
      </c>
      <c r="C236" t="s">
        <v>71</v>
      </c>
      <c r="D236" s="2">
        <v>10</v>
      </c>
      <c r="E236" s="2">
        <v>15</v>
      </c>
      <c r="F236">
        <v>3</v>
      </c>
      <c r="G236">
        <v>0</v>
      </c>
      <c r="H236">
        <f t="shared" si="0"/>
        <v>3</v>
      </c>
      <c r="I236" s="1">
        <v>44927</v>
      </c>
      <c r="J236" t="s">
        <v>6</v>
      </c>
    </row>
    <row r="237" spans="1:10" x14ac:dyDescent="0.25">
      <c r="A237" t="s">
        <v>28</v>
      </c>
      <c r="B237" t="s">
        <v>24</v>
      </c>
      <c r="C237" t="s">
        <v>72</v>
      </c>
      <c r="D237" s="2">
        <v>20</v>
      </c>
      <c r="E237" s="2">
        <v>25</v>
      </c>
      <c r="F237">
        <v>2</v>
      </c>
      <c r="G237">
        <v>0</v>
      </c>
      <c r="H237">
        <f t="shared" si="0"/>
        <v>2</v>
      </c>
      <c r="I237" s="1">
        <v>44927</v>
      </c>
      <c r="J237" t="s">
        <v>6</v>
      </c>
    </row>
    <row r="238" spans="1:10" x14ac:dyDescent="0.25">
      <c r="A238" t="s">
        <v>29</v>
      </c>
      <c r="B238" t="s">
        <v>30</v>
      </c>
      <c r="C238" t="s">
        <v>73</v>
      </c>
      <c r="D238" s="2">
        <v>25</v>
      </c>
      <c r="E238" s="2">
        <v>30</v>
      </c>
      <c r="F238">
        <v>18</v>
      </c>
      <c r="G238">
        <v>16</v>
      </c>
      <c r="H238">
        <f t="shared" si="0"/>
        <v>2</v>
      </c>
      <c r="I238" s="1">
        <v>44927</v>
      </c>
      <c r="J238" t="s">
        <v>6</v>
      </c>
    </row>
    <row r="239" spans="1:10" x14ac:dyDescent="0.25">
      <c r="A239" t="s">
        <v>31</v>
      </c>
      <c r="B239" t="s">
        <v>30</v>
      </c>
      <c r="C239" t="s">
        <v>74</v>
      </c>
      <c r="D239" s="2">
        <v>25</v>
      </c>
      <c r="E239" s="2">
        <v>30</v>
      </c>
      <c r="F239">
        <v>10</v>
      </c>
      <c r="G239">
        <v>10</v>
      </c>
      <c r="H239">
        <f t="shared" si="0"/>
        <v>0</v>
      </c>
      <c r="I239" s="1">
        <v>44927</v>
      </c>
      <c r="J239" t="s">
        <v>6</v>
      </c>
    </row>
    <row r="240" spans="1:10" x14ac:dyDescent="0.25">
      <c r="A240" t="s">
        <v>32</v>
      </c>
      <c r="B240" t="s">
        <v>30</v>
      </c>
      <c r="C240" t="s">
        <v>75</v>
      </c>
      <c r="D240" s="2">
        <v>25</v>
      </c>
      <c r="E240" s="2">
        <v>30</v>
      </c>
      <c r="F240">
        <v>11</v>
      </c>
      <c r="G240">
        <v>10</v>
      </c>
      <c r="H240">
        <f t="shared" si="0"/>
        <v>1</v>
      </c>
      <c r="I240" s="1">
        <v>44927</v>
      </c>
      <c r="J240" t="s">
        <v>6</v>
      </c>
    </row>
    <row r="241" spans="1:10" x14ac:dyDescent="0.25">
      <c r="A241" t="s">
        <v>33</v>
      </c>
      <c r="B241" t="s">
        <v>30</v>
      </c>
      <c r="C241" t="s">
        <v>76</v>
      </c>
      <c r="D241" s="2">
        <v>30</v>
      </c>
      <c r="E241" s="2">
        <v>35</v>
      </c>
      <c r="F241">
        <v>7</v>
      </c>
      <c r="G241">
        <v>5</v>
      </c>
      <c r="H241">
        <f t="shared" si="0"/>
        <v>2</v>
      </c>
      <c r="I241" s="1">
        <v>44927</v>
      </c>
      <c r="J241" t="s">
        <v>6</v>
      </c>
    </row>
    <row r="242" spans="1:10" x14ac:dyDescent="0.25">
      <c r="A242" t="s">
        <v>2</v>
      </c>
      <c r="B242" t="s">
        <v>3</v>
      </c>
      <c r="C242" t="s">
        <v>48</v>
      </c>
      <c r="D242" s="2">
        <v>100</v>
      </c>
      <c r="E242" s="2">
        <v>200</v>
      </c>
      <c r="F242">
        <v>3</v>
      </c>
      <c r="G242">
        <v>3</v>
      </c>
      <c r="H242">
        <f t="shared" si="0"/>
        <v>0</v>
      </c>
      <c r="I242" s="1">
        <v>44928</v>
      </c>
      <c r="J242" t="s">
        <v>10</v>
      </c>
    </row>
    <row r="243" spans="1:10" x14ac:dyDescent="0.25">
      <c r="A243" t="s">
        <v>7</v>
      </c>
      <c r="B243" t="s">
        <v>3</v>
      </c>
      <c r="C243" t="s">
        <v>77</v>
      </c>
      <c r="D243" s="2">
        <v>200</v>
      </c>
      <c r="E243" s="2">
        <v>300</v>
      </c>
      <c r="F243">
        <v>0</v>
      </c>
      <c r="G243">
        <v>0</v>
      </c>
      <c r="H243">
        <f t="shared" si="0"/>
        <v>0</v>
      </c>
      <c r="I243" s="1">
        <v>44928</v>
      </c>
      <c r="J243" t="s">
        <v>10</v>
      </c>
    </row>
    <row r="244" spans="1:10" x14ac:dyDescent="0.25">
      <c r="A244" t="s">
        <v>23</v>
      </c>
      <c r="B244" t="s">
        <v>3</v>
      </c>
      <c r="C244" t="s">
        <v>52</v>
      </c>
      <c r="D244" s="2">
        <v>150</v>
      </c>
      <c r="E244" s="2">
        <v>250</v>
      </c>
      <c r="F244">
        <v>1</v>
      </c>
      <c r="G244">
        <v>1</v>
      </c>
      <c r="H244">
        <f t="shared" si="0"/>
        <v>0</v>
      </c>
      <c r="I244" s="1">
        <v>44928</v>
      </c>
      <c r="J244" t="s">
        <v>10</v>
      </c>
    </row>
    <row r="245" spans="1:10" x14ac:dyDescent="0.25">
      <c r="A245" t="s">
        <v>9</v>
      </c>
      <c r="B245" t="s">
        <v>3</v>
      </c>
      <c r="C245" t="s">
        <v>53</v>
      </c>
      <c r="D245" s="2">
        <v>100</v>
      </c>
      <c r="E245" s="2">
        <v>200</v>
      </c>
      <c r="F245">
        <v>0</v>
      </c>
      <c r="G245">
        <v>0</v>
      </c>
      <c r="H245">
        <f t="shared" si="0"/>
        <v>0</v>
      </c>
      <c r="I245" s="1">
        <v>44928</v>
      </c>
      <c r="J245" t="s">
        <v>10</v>
      </c>
    </row>
    <row r="246" spans="1:10" x14ac:dyDescent="0.25">
      <c r="A246" t="s">
        <v>2</v>
      </c>
      <c r="B246" t="s">
        <v>12</v>
      </c>
      <c r="C246" t="s">
        <v>49</v>
      </c>
      <c r="D246" s="2">
        <v>250</v>
      </c>
      <c r="E246" s="2">
        <v>350</v>
      </c>
      <c r="F246">
        <v>2</v>
      </c>
      <c r="G246">
        <v>2</v>
      </c>
      <c r="H246">
        <f t="shared" si="0"/>
        <v>0</v>
      </c>
      <c r="I246" s="1">
        <v>44928</v>
      </c>
      <c r="J246" t="s">
        <v>10</v>
      </c>
    </row>
    <row r="247" spans="1:10" x14ac:dyDescent="0.25">
      <c r="A247" t="s">
        <v>7</v>
      </c>
      <c r="B247" t="s">
        <v>12</v>
      </c>
      <c r="C247" t="s">
        <v>54</v>
      </c>
      <c r="D247" s="2">
        <v>300</v>
      </c>
      <c r="E247" s="2">
        <v>400</v>
      </c>
      <c r="F247">
        <v>1</v>
      </c>
      <c r="G247">
        <v>1</v>
      </c>
      <c r="H247">
        <f t="shared" si="0"/>
        <v>0</v>
      </c>
      <c r="I247" s="1">
        <v>44928</v>
      </c>
      <c r="J247" t="s">
        <v>10</v>
      </c>
    </row>
    <row r="248" spans="1:10" x14ac:dyDescent="0.25">
      <c r="A248" t="s">
        <v>8</v>
      </c>
      <c r="B248" t="s">
        <v>12</v>
      </c>
      <c r="C248" t="s">
        <v>55</v>
      </c>
      <c r="D248" s="2">
        <v>250</v>
      </c>
      <c r="E248" s="2">
        <v>350</v>
      </c>
      <c r="F248">
        <v>1</v>
      </c>
      <c r="G248">
        <v>0</v>
      </c>
      <c r="H248">
        <f t="shared" si="0"/>
        <v>1</v>
      </c>
      <c r="I248" s="1">
        <v>44928</v>
      </c>
      <c r="J248" t="s">
        <v>10</v>
      </c>
    </row>
    <row r="249" spans="1:10" x14ac:dyDescent="0.25">
      <c r="A249" t="s">
        <v>9</v>
      </c>
      <c r="B249" t="s">
        <v>12</v>
      </c>
      <c r="C249" t="s">
        <v>56</v>
      </c>
      <c r="D249" s="2">
        <v>250</v>
      </c>
      <c r="E249" s="2">
        <v>350</v>
      </c>
      <c r="F249">
        <v>0</v>
      </c>
      <c r="G249">
        <v>0</v>
      </c>
      <c r="H249">
        <f t="shared" si="0"/>
        <v>0</v>
      </c>
      <c r="I249" s="1">
        <v>44928</v>
      </c>
      <c r="J249" t="s">
        <v>10</v>
      </c>
    </row>
    <row r="250" spans="1:10" x14ac:dyDescent="0.25">
      <c r="A250" t="s">
        <v>13</v>
      </c>
      <c r="B250" t="s">
        <v>12</v>
      </c>
      <c r="C250" t="s">
        <v>57</v>
      </c>
      <c r="D250" s="2">
        <v>300</v>
      </c>
      <c r="E250" s="2">
        <v>450</v>
      </c>
      <c r="F250">
        <v>1</v>
      </c>
      <c r="G250">
        <v>0</v>
      </c>
      <c r="H250">
        <f t="shared" si="0"/>
        <v>1</v>
      </c>
      <c r="I250" s="1">
        <v>44928</v>
      </c>
      <c r="J250" t="s">
        <v>10</v>
      </c>
    </row>
    <row r="251" spans="1:10" x14ac:dyDescent="0.25">
      <c r="A251" t="s">
        <v>14</v>
      </c>
      <c r="B251" t="s">
        <v>16</v>
      </c>
      <c r="C251" t="s">
        <v>50</v>
      </c>
      <c r="D251" s="2">
        <v>320</v>
      </c>
      <c r="E251" s="2">
        <v>400</v>
      </c>
      <c r="F251">
        <v>0</v>
      </c>
      <c r="G251">
        <v>0</v>
      </c>
      <c r="H251">
        <f t="shared" si="0"/>
        <v>0</v>
      </c>
      <c r="I251" s="1">
        <v>44928</v>
      </c>
      <c r="J251" t="s">
        <v>10</v>
      </c>
    </row>
    <row r="252" spans="1:10" x14ac:dyDescent="0.25">
      <c r="A252" t="s">
        <v>15</v>
      </c>
      <c r="B252" t="s">
        <v>16</v>
      </c>
      <c r="C252" t="s">
        <v>58</v>
      </c>
      <c r="D252" s="2">
        <v>100</v>
      </c>
      <c r="E252" s="2">
        <v>150</v>
      </c>
      <c r="F252">
        <v>2</v>
      </c>
      <c r="G252">
        <v>0</v>
      </c>
      <c r="H252">
        <f t="shared" si="0"/>
        <v>2</v>
      </c>
      <c r="I252" s="1">
        <v>44928</v>
      </c>
      <c r="J252" t="s">
        <v>10</v>
      </c>
    </row>
    <row r="253" spans="1:10" x14ac:dyDescent="0.25">
      <c r="A253" t="s">
        <v>2</v>
      </c>
      <c r="B253" t="s">
        <v>21</v>
      </c>
      <c r="C253" t="s">
        <v>51</v>
      </c>
      <c r="D253" s="2">
        <v>25</v>
      </c>
      <c r="E253" s="2">
        <v>40</v>
      </c>
      <c r="F253">
        <v>10</v>
      </c>
      <c r="G253">
        <v>0</v>
      </c>
      <c r="H253">
        <f t="shared" si="0"/>
        <v>10</v>
      </c>
      <c r="I253" s="1">
        <v>44928</v>
      </c>
      <c r="J253" t="s">
        <v>10</v>
      </c>
    </row>
    <row r="254" spans="1:10" x14ac:dyDescent="0.25">
      <c r="A254" t="s">
        <v>7</v>
      </c>
      <c r="B254" t="s">
        <v>21</v>
      </c>
      <c r="C254" t="s">
        <v>59</v>
      </c>
      <c r="D254" s="2">
        <v>30</v>
      </c>
      <c r="E254" s="2">
        <v>50</v>
      </c>
      <c r="F254">
        <v>4</v>
      </c>
      <c r="G254">
        <v>0</v>
      </c>
      <c r="H254">
        <f t="shared" si="0"/>
        <v>4</v>
      </c>
      <c r="I254" s="1">
        <v>44928</v>
      </c>
      <c r="J254" t="s">
        <v>10</v>
      </c>
    </row>
    <row r="255" spans="1:10" x14ac:dyDescent="0.25">
      <c r="A255" t="s">
        <v>9</v>
      </c>
      <c r="B255" t="s">
        <v>21</v>
      </c>
      <c r="C255" t="s">
        <v>60</v>
      </c>
      <c r="D255" s="2">
        <v>25</v>
      </c>
      <c r="E255" s="2">
        <v>40</v>
      </c>
      <c r="F255">
        <v>10</v>
      </c>
      <c r="G255">
        <v>6</v>
      </c>
      <c r="H255">
        <f t="shared" si="0"/>
        <v>4</v>
      </c>
      <c r="I255" s="1">
        <v>44928</v>
      </c>
      <c r="J255" t="s">
        <v>10</v>
      </c>
    </row>
    <row r="256" spans="1:10" x14ac:dyDescent="0.25">
      <c r="A256" t="s">
        <v>23</v>
      </c>
      <c r="B256" t="s">
        <v>21</v>
      </c>
      <c r="C256" t="s">
        <v>61</v>
      </c>
      <c r="D256" s="2">
        <v>25</v>
      </c>
      <c r="E256" s="2">
        <v>40</v>
      </c>
      <c r="F256">
        <v>10</v>
      </c>
      <c r="G256">
        <v>0</v>
      </c>
      <c r="H256">
        <f t="shared" si="0"/>
        <v>10</v>
      </c>
      <c r="I256" s="1">
        <v>44928</v>
      </c>
      <c r="J256" t="s">
        <v>10</v>
      </c>
    </row>
    <row r="257" spans="1:10" x14ac:dyDescent="0.25">
      <c r="A257" t="s">
        <v>13</v>
      </c>
      <c r="B257" t="s">
        <v>21</v>
      </c>
      <c r="C257" t="s">
        <v>62</v>
      </c>
      <c r="D257" s="2">
        <v>30</v>
      </c>
      <c r="E257" s="2">
        <v>55</v>
      </c>
      <c r="F257">
        <v>3</v>
      </c>
      <c r="G257">
        <v>0</v>
      </c>
      <c r="H257">
        <f t="shared" si="0"/>
        <v>3</v>
      </c>
      <c r="I257" s="1">
        <v>44928</v>
      </c>
      <c r="J257" t="s">
        <v>10</v>
      </c>
    </row>
    <row r="258" spans="1:10" x14ac:dyDescent="0.25">
      <c r="A258" t="s">
        <v>17</v>
      </c>
      <c r="B258" t="s">
        <v>21</v>
      </c>
      <c r="C258" t="s">
        <v>63</v>
      </c>
      <c r="D258" s="2">
        <v>40</v>
      </c>
      <c r="E258" s="2">
        <v>65</v>
      </c>
      <c r="F258">
        <v>6</v>
      </c>
      <c r="G258">
        <v>2</v>
      </c>
      <c r="H258">
        <f t="shared" si="0"/>
        <v>4</v>
      </c>
      <c r="I258" s="1">
        <v>44928</v>
      </c>
      <c r="J258" t="s">
        <v>10</v>
      </c>
    </row>
    <row r="259" spans="1:10" x14ac:dyDescent="0.25">
      <c r="A259" t="s">
        <v>34</v>
      </c>
      <c r="B259" t="s">
        <v>21</v>
      </c>
      <c r="C259" t="s">
        <v>64</v>
      </c>
      <c r="D259" s="2">
        <v>50</v>
      </c>
      <c r="E259" s="2">
        <v>70</v>
      </c>
      <c r="F259">
        <v>0</v>
      </c>
      <c r="G259">
        <v>0</v>
      </c>
      <c r="H259">
        <f t="shared" ref="H259:H513" si="1">F259-G259</f>
        <v>0</v>
      </c>
      <c r="I259" s="1">
        <v>44928</v>
      </c>
      <c r="J259" t="s">
        <v>10</v>
      </c>
    </row>
    <row r="260" spans="1:10" x14ac:dyDescent="0.25">
      <c r="A260" t="s">
        <v>18</v>
      </c>
      <c r="B260" t="s">
        <v>21</v>
      </c>
      <c r="C260" t="s">
        <v>65</v>
      </c>
      <c r="D260" s="2">
        <v>20</v>
      </c>
      <c r="E260" s="2">
        <v>30</v>
      </c>
      <c r="F260">
        <v>0</v>
      </c>
      <c r="G260">
        <v>0</v>
      </c>
      <c r="H260">
        <f t="shared" si="1"/>
        <v>0</v>
      </c>
      <c r="I260" s="1">
        <v>44928</v>
      </c>
      <c r="J260" t="s">
        <v>10</v>
      </c>
    </row>
    <row r="261" spans="1:10" x14ac:dyDescent="0.25">
      <c r="A261" t="s">
        <v>19</v>
      </c>
      <c r="B261" t="s">
        <v>21</v>
      </c>
      <c r="C261" t="s">
        <v>66</v>
      </c>
      <c r="D261" s="2">
        <v>10</v>
      </c>
      <c r="E261" s="2">
        <v>20</v>
      </c>
      <c r="F261">
        <v>4</v>
      </c>
      <c r="G261">
        <v>0</v>
      </c>
      <c r="H261">
        <f t="shared" si="1"/>
        <v>4</v>
      </c>
      <c r="I261" s="1">
        <v>44928</v>
      </c>
      <c r="J261" t="s">
        <v>10</v>
      </c>
    </row>
    <row r="262" spans="1:10" x14ac:dyDescent="0.25">
      <c r="A262" t="s">
        <v>20</v>
      </c>
      <c r="B262" t="s">
        <v>21</v>
      </c>
      <c r="C262" t="s">
        <v>67</v>
      </c>
      <c r="D262" s="2">
        <v>60</v>
      </c>
      <c r="E262" s="2">
        <v>100</v>
      </c>
      <c r="F262">
        <v>6</v>
      </c>
      <c r="G262">
        <v>6</v>
      </c>
      <c r="H262">
        <f t="shared" si="1"/>
        <v>0</v>
      </c>
      <c r="I262" s="1">
        <v>44928</v>
      </c>
      <c r="J262" t="s">
        <v>10</v>
      </c>
    </row>
    <row r="263" spans="1:10" x14ac:dyDescent="0.25">
      <c r="A263" t="s">
        <v>22</v>
      </c>
      <c r="B263" t="s">
        <v>24</v>
      </c>
      <c r="C263" t="s">
        <v>68</v>
      </c>
      <c r="D263" s="2">
        <v>50</v>
      </c>
      <c r="E263" s="2">
        <v>70</v>
      </c>
      <c r="F263">
        <v>0</v>
      </c>
      <c r="G263">
        <v>0</v>
      </c>
      <c r="H263">
        <f t="shared" si="1"/>
        <v>0</v>
      </c>
      <c r="I263" s="1">
        <v>44928</v>
      </c>
      <c r="J263" t="s">
        <v>10</v>
      </c>
    </row>
    <row r="264" spans="1:10" x14ac:dyDescent="0.25">
      <c r="A264" t="s">
        <v>25</v>
      </c>
      <c r="B264" t="s">
        <v>24</v>
      </c>
      <c r="C264" t="s">
        <v>69</v>
      </c>
      <c r="D264" s="2">
        <v>45</v>
      </c>
      <c r="E264" s="2">
        <v>65</v>
      </c>
      <c r="F264">
        <v>4</v>
      </c>
      <c r="G264">
        <v>4</v>
      </c>
      <c r="H264">
        <f t="shared" si="1"/>
        <v>0</v>
      </c>
      <c r="I264" s="1">
        <v>44928</v>
      </c>
      <c r="J264" t="s">
        <v>10</v>
      </c>
    </row>
    <row r="265" spans="1:10" x14ac:dyDescent="0.25">
      <c r="A265" t="s">
        <v>26</v>
      </c>
      <c r="B265" t="s">
        <v>24</v>
      </c>
      <c r="C265" t="s">
        <v>70</v>
      </c>
      <c r="D265" s="2">
        <v>50</v>
      </c>
      <c r="E265" s="2">
        <v>70</v>
      </c>
      <c r="F265">
        <v>3</v>
      </c>
      <c r="G265">
        <v>3</v>
      </c>
      <c r="H265">
        <f t="shared" si="1"/>
        <v>0</v>
      </c>
      <c r="I265" s="1">
        <v>44928</v>
      </c>
      <c r="J265" t="s">
        <v>10</v>
      </c>
    </row>
    <row r="266" spans="1:10" x14ac:dyDescent="0.25">
      <c r="A266" t="s">
        <v>27</v>
      </c>
      <c r="B266" t="s">
        <v>24</v>
      </c>
      <c r="C266" t="s">
        <v>71</v>
      </c>
      <c r="D266" s="2">
        <v>10</v>
      </c>
      <c r="E266" s="2">
        <v>15</v>
      </c>
      <c r="F266">
        <v>10</v>
      </c>
      <c r="G266">
        <v>0</v>
      </c>
      <c r="H266">
        <f t="shared" si="1"/>
        <v>10</v>
      </c>
      <c r="I266" s="1">
        <v>44928</v>
      </c>
      <c r="J266" t="s">
        <v>10</v>
      </c>
    </row>
    <row r="267" spans="1:10" x14ac:dyDescent="0.25">
      <c r="A267" t="s">
        <v>28</v>
      </c>
      <c r="B267" t="s">
        <v>24</v>
      </c>
      <c r="C267" t="s">
        <v>72</v>
      </c>
      <c r="D267" s="2">
        <v>20</v>
      </c>
      <c r="E267" s="2">
        <v>25</v>
      </c>
      <c r="F267">
        <v>10</v>
      </c>
      <c r="G267">
        <v>0</v>
      </c>
      <c r="H267">
        <f t="shared" si="1"/>
        <v>10</v>
      </c>
      <c r="I267" s="1">
        <v>44928</v>
      </c>
      <c r="J267" t="s">
        <v>10</v>
      </c>
    </row>
    <row r="268" spans="1:10" x14ac:dyDescent="0.25">
      <c r="A268" t="s">
        <v>29</v>
      </c>
      <c r="B268" t="s">
        <v>30</v>
      </c>
      <c r="C268" t="s">
        <v>73</v>
      </c>
      <c r="D268" s="2">
        <v>25</v>
      </c>
      <c r="E268" s="2">
        <v>30</v>
      </c>
      <c r="F268">
        <v>16</v>
      </c>
      <c r="G268">
        <v>13</v>
      </c>
      <c r="H268">
        <f t="shared" si="1"/>
        <v>3</v>
      </c>
      <c r="I268" s="1">
        <v>44928</v>
      </c>
      <c r="J268" t="s">
        <v>10</v>
      </c>
    </row>
    <row r="269" spans="1:10" x14ac:dyDescent="0.25">
      <c r="A269" t="s">
        <v>31</v>
      </c>
      <c r="B269" t="s">
        <v>30</v>
      </c>
      <c r="C269" t="s">
        <v>74</v>
      </c>
      <c r="D269" s="2">
        <v>25</v>
      </c>
      <c r="E269" s="2">
        <v>30</v>
      </c>
      <c r="F269">
        <v>10</v>
      </c>
      <c r="G269">
        <v>9</v>
      </c>
      <c r="H269">
        <f t="shared" si="1"/>
        <v>1</v>
      </c>
      <c r="I269" s="1">
        <v>44928</v>
      </c>
      <c r="J269" t="s">
        <v>10</v>
      </c>
    </row>
    <row r="270" spans="1:10" x14ac:dyDescent="0.25">
      <c r="A270" t="s">
        <v>32</v>
      </c>
      <c r="B270" t="s">
        <v>30</v>
      </c>
      <c r="C270" t="s">
        <v>75</v>
      </c>
      <c r="D270" s="2">
        <v>25</v>
      </c>
      <c r="E270" s="2">
        <v>30</v>
      </c>
      <c r="F270">
        <v>10</v>
      </c>
      <c r="G270">
        <v>5</v>
      </c>
      <c r="H270">
        <f t="shared" si="1"/>
        <v>5</v>
      </c>
      <c r="I270" s="1">
        <v>44928</v>
      </c>
      <c r="J270" t="s">
        <v>10</v>
      </c>
    </row>
    <row r="271" spans="1:10" x14ac:dyDescent="0.25">
      <c r="A271" t="s">
        <v>33</v>
      </c>
      <c r="B271" t="s">
        <v>30</v>
      </c>
      <c r="C271" t="s">
        <v>76</v>
      </c>
      <c r="D271" s="2">
        <v>30</v>
      </c>
      <c r="E271" s="2">
        <v>35</v>
      </c>
      <c r="F271">
        <v>5</v>
      </c>
      <c r="G271">
        <v>0</v>
      </c>
      <c r="H271">
        <f t="shared" si="1"/>
        <v>5</v>
      </c>
      <c r="I271" s="1">
        <v>44928</v>
      </c>
      <c r="J271" t="s">
        <v>10</v>
      </c>
    </row>
    <row r="272" spans="1:10" x14ac:dyDescent="0.25">
      <c r="A272" t="s">
        <v>2</v>
      </c>
      <c r="B272" t="s">
        <v>3</v>
      </c>
      <c r="C272" t="s">
        <v>48</v>
      </c>
      <c r="D272" s="2">
        <v>100</v>
      </c>
      <c r="E272" s="2">
        <v>200</v>
      </c>
      <c r="F272">
        <v>6</v>
      </c>
      <c r="G272">
        <v>4</v>
      </c>
      <c r="H272">
        <f t="shared" si="1"/>
        <v>2</v>
      </c>
      <c r="I272" s="1">
        <v>44930</v>
      </c>
      <c r="J272" t="s">
        <v>35</v>
      </c>
    </row>
    <row r="273" spans="1:10" x14ac:dyDescent="0.25">
      <c r="A273" t="s">
        <v>7</v>
      </c>
      <c r="B273" t="s">
        <v>3</v>
      </c>
      <c r="C273" t="s">
        <v>77</v>
      </c>
      <c r="D273" s="2">
        <v>200</v>
      </c>
      <c r="E273" s="2">
        <v>300</v>
      </c>
      <c r="F273">
        <v>2</v>
      </c>
      <c r="G273">
        <v>1</v>
      </c>
      <c r="H273">
        <f t="shared" si="1"/>
        <v>1</v>
      </c>
      <c r="I273" s="1">
        <v>44930</v>
      </c>
      <c r="J273" t="s">
        <v>35</v>
      </c>
    </row>
    <row r="274" spans="1:10" x14ac:dyDescent="0.25">
      <c r="A274" t="s">
        <v>23</v>
      </c>
      <c r="B274" t="s">
        <v>3</v>
      </c>
      <c r="C274" t="s">
        <v>52</v>
      </c>
      <c r="D274" s="2">
        <v>150</v>
      </c>
      <c r="E274" s="2">
        <v>250</v>
      </c>
      <c r="F274">
        <v>2</v>
      </c>
      <c r="G274">
        <v>1</v>
      </c>
      <c r="H274">
        <f t="shared" si="1"/>
        <v>1</v>
      </c>
      <c r="I274" s="1">
        <v>44930</v>
      </c>
      <c r="J274" t="s">
        <v>35</v>
      </c>
    </row>
    <row r="275" spans="1:10" x14ac:dyDescent="0.25">
      <c r="A275" t="s">
        <v>9</v>
      </c>
      <c r="B275" t="s">
        <v>3</v>
      </c>
      <c r="C275" t="s">
        <v>53</v>
      </c>
      <c r="D275" s="2">
        <v>100</v>
      </c>
      <c r="E275" s="2">
        <v>200</v>
      </c>
      <c r="F275">
        <v>2</v>
      </c>
      <c r="G275">
        <v>0</v>
      </c>
      <c r="H275">
        <f t="shared" si="1"/>
        <v>2</v>
      </c>
      <c r="I275" s="1">
        <v>44930</v>
      </c>
      <c r="J275" t="s">
        <v>35</v>
      </c>
    </row>
    <row r="276" spans="1:10" x14ac:dyDescent="0.25">
      <c r="A276" t="s">
        <v>2</v>
      </c>
      <c r="B276" t="s">
        <v>12</v>
      </c>
      <c r="C276" t="s">
        <v>49</v>
      </c>
      <c r="D276" s="2">
        <v>250</v>
      </c>
      <c r="E276" s="2">
        <v>350</v>
      </c>
      <c r="F276">
        <v>2</v>
      </c>
      <c r="G276">
        <v>2</v>
      </c>
      <c r="H276">
        <f t="shared" si="1"/>
        <v>0</v>
      </c>
      <c r="I276" s="1">
        <v>44930</v>
      </c>
      <c r="J276" t="s">
        <v>35</v>
      </c>
    </row>
    <row r="277" spans="1:10" x14ac:dyDescent="0.25">
      <c r="A277" t="s">
        <v>7</v>
      </c>
      <c r="B277" t="s">
        <v>12</v>
      </c>
      <c r="C277" t="s">
        <v>54</v>
      </c>
      <c r="D277" s="2">
        <v>300</v>
      </c>
      <c r="E277" s="2">
        <v>400</v>
      </c>
      <c r="F277">
        <v>1</v>
      </c>
      <c r="G277">
        <v>1</v>
      </c>
      <c r="H277">
        <f t="shared" si="1"/>
        <v>0</v>
      </c>
      <c r="I277" s="1">
        <v>44930</v>
      </c>
      <c r="J277" t="s">
        <v>35</v>
      </c>
    </row>
    <row r="278" spans="1:10" x14ac:dyDescent="0.25">
      <c r="A278" t="s">
        <v>8</v>
      </c>
      <c r="B278" t="s">
        <v>12</v>
      </c>
      <c r="C278" t="s">
        <v>55</v>
      </c>
      <c r="D278" s="2">
        <v>250</v>
      </c>
      <c r="E278" s="2">
        <v>350</v>
      </c>
      <c r="F278">
        <v>2</v>
      </c>
      <c r="G278">
        <v>1</v>
      </c>
      <c r="H278">
        <f t="shared" si="1"/>
        <v>1</v>
      </c>
      <c r="I278" s="1">
        <v>44930</v>
      </c>
      <c r="J278" t="s">
        <v>35</v>
      </c>
    </row>
    <row r="279" spans="1:10" x14ac:dyDescent="0.25">
      <c r="A279" t="s">
        <v>9</v>
      </c>
      <c r="B279" t="s">
        <v>12</v>
      </c>
      <c r="C279" t="s">
        <v>56</v>
      </c>
      <c r="D279" s="2">
        <v>250</v>
      </c>
      <c r="E279" s="2">
        <v>350</v>
      </c>
      <c r="F279">
        <v>1</v>
      </c>
      <c r="G279">
        <v>1</v>
      </c>
      <c r="H279">
        <f t="shared" si="1"/>
        <v>0</v>
      </c>
      <c r="I279" s="1">
        <v>44930</v>
      </c>
      <c r="J279" t="s">
        <v>35</v>
      </c>
    </row>
    <row r="280" spans="1:10" x14ac:dyDescent="0.25">
      <c r="A280" t="s">
        <v>13</v>
      </c>
      <c r="B280" t="s">
        <v>12</v>
      </c>
      <c r="C280" t="s">
        <v>57</v>
      </c>
      <c r="D280" s="2">
        <v>300</v>
      </c>
      <c r="E280" s="2">
        <v>450</v>
      </c>
      <c r="F280">
        <v>1</v>
      </c>
      <c r="G280">
        <v>1</v>
      </c>
      <c r="H280">
        <f t="shared" si="1"/>
        <v>0</v>
      </c>
      <c r="I280" s="1">
        <v>44930</v>
      </c>
      <c r="J280" t="s">
        <v>35</v>
      </c>
    </row>
    <row r="281" spans="1:10" x14ac:dyDescent="0.25">
      <c r="A281" t="s">
        <v>14</v>
      </c>
      <c r="B281" t="s">
        <v>16</v>
      </c>
      <c r="C281" t="s">
        <v>50</v>
      </c>
      <c r="D281" s="2">
        <v>320</v>
      </c>
      <c r="E281" s="2">
        <v>400</v>
      </c>
      <c r="F281">
        <v>0</v>
      </c>
      <c r="G281">
        <v>0</v>
      </c>
      <c r="H281">
        <f t="shared" si="1"/>
        <v>0</v>
      </c>
      <c r="I281" s="1">
        <v>44930</v>
      </c>
      <c r="J281" t="s">
        <v>35</v>
      </c>
    </row>
    <row r="282" spans="1:10" x14ac:dyDescent="0.25">
      <c r="A282" t="s">
        <v>15</v>
      </c>
      <c r="B282" t="s">
        <v>16</v>
      </c>
      <c r="C282" t="s">
        <v>58</v>
      </c>
      <c r="D282" s="2">
        <v>100</v>
      </c>
      <c r="E282" s="2">
        <v>150</v>
      </c>
      <c r="F282">
        <v>0</v>
      </c>
      <c r="G282">
        <v>0</v>
      </c>
      <c r="H282">
        <f t="shared" si="1"/>
        <v>0</v>
      </c>
      <c r="I282" s="1">
        <v>44930</v>
      </c>
      <c r="J282" t="s">
        <v>35</v>
      </c>
    </row>
    <row r="283" spans="1:10" x14ac:dyDescent="0.25">
      <c r="A283" t="s">
        <v>2</v>
      </c>
      <c r="B283" t="s">
        <v>21</v>
      </c>
      <c r="C283" t="s">
        <v>51</v>
      </c>
      <c r="D283" s="2">
        <v>25</v>
      </c>
      <c r="E283" s="2">
        <v>40</v>
      </c>
      <c r="F283">
        <v>10</v>
      </c>
      <c r="G283">
        <v>3</v>
      </c>
      <c r="H283">
        <f t="shared" si="1"/>
        <v>7</v>
      </c>
      <c r="I283" s="1">
        <v>44930</v>
      </c>
      <c r="J283" t="s">
        <v>35</v>
      </c>
    </row>
    <row r="284" spans="1:10" x14ac:dyDescent="0.25">
      <c r="A284" t="s">
        <v>7</v>
      </c>
      <c r="B284" t="s">
        <v>21</v>
      </c>
      <c r="C284" t="s">
        <v>59</v>
      </c>
      <c r="D284" s="2">
        <v>30</v>
      </c>
      <c r="E284" s="2">
        <v>50</v>
      </c>
      <c r="F284">
        <v>0</v>
      </c>
      <c r="G284">
        <v>0</v>
      </c>
      <c r="H284">
        <f t="shared" si="1"/>
        <v>0</v>
      </c>
      <c r="I284" s="1">
        <v>44930</v>
      </c>
      <c r="J284" t="s">
        <v>35</v>
      </c>
    </row>
    <row r="285" spans="1:10" x14ac:dyDescent="0.25">
      <c r="A285" t="s">
        <v>9</v>
      </c>
      <c r="B285" t="s">
        <v>21</v>
      </c>
      <c r="C285" t="s">
        <v>60</v>
      </c>
      <c r="D285" s="2">
        <v>25</v>
      </c>
      <c r="E285" s="2">
        <v>40</v>
      </c>
      <c r="F285">
        <v>16</v>
      </c>
      <c r="G285">
        <v>15</v>
      </c>
      <c r="H285">
        <f t="shared" si="1"/>
        <v>1</v>
      </c>
      <c r="I285" s="1">
        <v>44930</v>
      </c>
      <c r="J285" t="s">
        <v>35</v>
      </c>
    </row>
    <row r="286" spans="1:10" x14ac:dyDescent="0.25">
      <c r="A286" t="s">
        <v>23</v>
      </c>
      <c r="B286" t="s">
        <v>21</v>
      </c>
      <c r="C286" t="s">
        <v>61</v>
      </c>
      <c r="D286" s="2">
        <v>25</v>
      </c>
      <c r="E286" s="2">
        <v>40</v>
      </c>
      <c r="F286">
        <v>11</v>
      </c>
      <c r="G286">
        <v>5</v>
      </c>
      <c r="H286">
        <f t="shared" si="1"/>
        <v>6</v>
      </c>
      <c r="I286" s="1">
        <v>44930</v>
      </c>
      <c r="J286" t="s">
        <v>35</v>
      </c>
    </row>
    <row r="287" spans="1:10" x14ac:dyDescent="0.25">
      <c r="A287" t="s">
        <v>13</v>
      </c>
      <c r="B287" t="s">
        <v>21</v>
      </c>
      <c r="C287" t="s">
        <v>62</v>
      </c>
      <c r="D287" s="2">
        <v>30</v>
      </c>
      <c r="E287" s="2">
        <v>55</v>
      </c>
      <c r="F287">
        <v>0</v>
      </c>
      <c r="G287">
        <v>0</v>
      </c>
      <c r="H287">
        <f t="shared" si="1"/>
        <v>0</v>
      </c>
      <c r="I287" s="1">
        <v>44930</v>
      </c>
      <c r="J287" t="s">
        <v>35</v>
      </c>
    </row>
    <row r="288" spans="1:10" x14ac:dyDescent="0.25">
      <c r="A288" t="s">
        <v>17</v>
      </c>
      <c r="B288" t="s">
        <v>21</v>
      </c>
      <c r="C288" t="s">
        <v>63</v>
      </c>
      <c r="D288" s="2">
        <v>40</v>
      </c>
      <c r="E288" s="2">
        <v>65</v>
      </c>
      <c r="F288">
        <v>22</v>
      </c>
      <c r="G288">
        <v>19</v>
      </c>
      <c r="H288">
        <f t="shared" si="1"/>
        <v>3</v>
      </c>
      <c r="I288" s="1">
        <v>44930</v>
      </c>
      <c r="J288" t="s">
        <v>35</v>
      </c>
    </row>
    <row r="289" spans="1:10" x14ac:dyDescent="0.25">
      <c r="A289" t="s">
        <v>34</v>
      </c>
      <c r="B289" t="s">
        <v>21</v>
      </c>
      <c r="C289" t="s">
        <v>64</v>
      </c>
      <c r="D289" s="2">
        <v>50</v>
      </c>
      <c r="E289" s="2">
        <v>70</v>
      </c>
      <c r="F289">
        <v>0</v>
      </c>
      <c r="G289">
        <v>0</v>
      </c>
      <c r="H289">
        <f t="shared" si="1"/>
        <v>0</v>
      </c>
      <c r="I289" s="1">
        <v>44930</v>
      </c>
      <c r="J289" t="s">
        <v>35</v>
      </c>
    </row>
    <row r="290" spans="1:10" x14ac:dyDescent="0.25">
      <c r="A290" t="s">
        <v>18</v>
      </c>
      <c r="B290" t="s">
        <v>21</v>
      </c>
      <c r="C290" t="s">
        <v>65</v>
      </c>
      <c r="D290" s="2">
        <v>20</v>
      </c>
      <c r="E290" s="2">
        <v>30</v>
      </c>
      <c r="F290">
        <v>0</v>
      </c>
      <c r="G290">
        <v>0</v>
      </c>
      <c r="H290">
        <f t="shared" si="1"/>
        <v>0</v>
      </c>
      <c r="I290" s="1">
        <v>44930</v>
      </c>
      <c r="J290" t="s">
        <v>35</v>
      </c>
    </row>
    <row r="291" spans="1:10" x14ac:dyDescent="0.25">
      <c r="A291" t="s">
        <v>19</v>
      </c>
      <c r="B291" t="s">
        <v>21</v>
      </c>
      <c r="C291" t="s">
        <v>66</v>
      </c>
      <c r="D291" s="2">
        <v>10</v>
      </c>
      <c r="E291" s="2">
        <v>20</v>
      </c>
      <c r="F291">
        <v>0</v>
      </c>
      <c r="G291">
        <v>0</v>
      </c>
      <c r="H291">
        <f t="shared" si="1"/>
        <v>0</v>
      </c>
      <c r="I291" s="1">
        <v>44930</v>
      </c>
      <c r="J291" t="s">
        <v>35</v>
      </c>
    </row>
    <row r="292" spans="1:10" x14ac:dyDescent="0.25">
      <c r="A292" t="s">
        <v>20</v>
      </c>
      <c r="B292" t="s">
        <v>21</v>
      </c>
      <c r="C292" t="s">
        <v>67</v>
      </c>
      <c r="D292" s="2">
        <v>60</v>
      </c>
      <c r="E292" s="2">
        <v>100</v>
      </c>
      <c r="F292">
        <v>6</v>
      </c>
      <c r="G292">
        <v>4</v>
      </c>
      <c r="H292">
        <f t="shared" si="1"/>
        <v>2</v>
      </c>
      <c r="I292" s="1">
        <v>44930</v>
      </c>
      <c r="J292" t="s">
        <v>35</v>
      </c>
    </row>
    <row r="293" spans="1:10" x14ac:dyDescent="0.25">
      <c r="A293" t="s">
        <v>22</v>
      </c>
      <c r="B293" t="s">
        <v>24</v>
      </c>
      <c r="C293" t="s">
        <v>68</v>
      </c>
      <c r="D293" s="2">
        <v>50</v>
      </c>
      <c r="E293" s="2">
        <v>70</v>
      </c>
      <c r="F293">
        <v>4</v>
      </c>
      <c r="G293">
        <v>0</v>
      </c>
      <c r="H293">
        <f t="shared" si="1"/>
        <v>4</v>
      </c>
      <c r="I293" s="1">
        <v>44930</v>
      </c>
      <c r="J293" t="s">
        <v>35</v>
      </c>
    </row>
    <row r="294" spans="1:10" x14ac:dyDescent="0.25">
      <c r="A294" t="s">
        <v>25</v>
      </c>
      <c r="B294" t="s">
        <v>24</v>
      </c>
      <c r="C294" t="s">
        <v>69</v>
      </c>
      <c r="D294" s="2">
        <v>45</v>
      </c>
      <c r="E294" s="2">
        <v>65</v>
      </c>
      <c r="F294">
        <v>4</v>
      </c>
      <c r="G294">
        <v>4</v>
      </c>
      <c r="H294">
        <f t="shared" si="1"/>
        <v>0</v>
      </c>
      <c r="I294" s="1">
        <v>44930</v>
      </c>
      <c r="J294" t="s">
        <v>35</v>
      </c>
    </row>
    <row r="295" spans="1:10" x14ac:dyDescent="0.25">
      <c r="A295" t="s">
        <v>26</v>
      </c>
      <c r="B295" t="s">
        <v>24</v>
      </c>
      <c r="C295" t="s">
        <v>70</v>
      </c>
      <c r="D295" s="2">
        <v>50</v>
      </c>
      <c r="E295" s="2">
        <v>70</v>
      </c>
      <c r="F295">
        <v>3</v>
      </c>
      <c r="G295">
        <v>0</v>
      </c>
      <c r="H295">
        <f t="shared" si="1"/>
        <v>3</v>
      </c>
      <c r="I295" s="1">
        <v>44930</v>
      </c>
      <c r="J295" t="s">
        <v>35</v>
      </c>
    </row>
    <row r="296" spans="1:10" x14ac:dyDescent="0.25">
      <c r="A296" t="s">
        <v>27</v>
      </c>
      <c r="B296" t="s">
        <v>24</v>
      </c>
      <c r="C296" t="s">
        <v>71</v>
      </c>
      <c r="D296" s="2">
        <v>10</v>
      </c>
      <c r="E296" s="2">
        <v>15</v>
      </c>
      <c r="F296">
        <v>0</v>
      </c>
      <c r="G296">
        <v>0</v>
      </c>
      <c r="H296">
        <f t="shared" si="1"/>
        <v>0</v>
      </c>
      <c r="I296" s="1">
        <v>44930</v>
      </c>
      <c r="J296" t="s">
        <v>35</v>
      </c>
    </row>
    <row r="297" spans="1:10" x14ac:dyDescent="0.25">
      <c r="A297" t="s">
        <v>28</v>
      </c>
      <c r="B297" t="s">
        <v>24</v>
      </c>
      <c r="C297" t="s">
        <v>72</v>
      </c>
      <c r="D297" s="2">
        <v>20</v>
      </c>
      <c r="E297" s="2">
        <v>25</v>
      </c>
      <c r="F297">
        <v>0</v>
      </c>
      <c r="G297">
        <v>0</v>
      </c>
      <c r="H297">
        <f t="shared" si="1"/>
        <v>0</v>
      </c>
      <c r="I297" s="1">
        <v>44930</v>
      </c>
      <c r="J297" t="s">
        <v>35</v>
      </c>
    </row>
    <row r="298" spans="1:10" x14ac:dyDescent="0.25">
      <c r="A298" t="s">
        <v>29</v>
      </c>
      <c r="B298" t="s">
        <v>30</v>
      </c>
      <c r="C298" t="s">
        <v>73</v>
      </c>
      <c r="D298" s="2">
        <v>25</v>
      </c>
      <c r="E298" s="2">
        <v>30</v>
      </c>
      <c r="F298">
        <v>13</v>
      </c>
      <c r="G298">
        <v>9</v>
      </c>
      <c r="H298">
        <f t="shared" si="1"/>
        <v>4</v>
      </c>
      <c r="I298" s="1">
        <v>44930</v>
      </c>
      <c r="J298" t="s">
        <v>35</v>
      </c>
    </row>
    <row r="299" spans="1:10" x14ac:dyDescent="0.25">
      <c r="A299" t="s">
        <v>31</v>
      </c>
      <c r="B299" t="s">
        <v>30</v>
      </c>
      <c r="C299" t="s">
        <v>74</v>
      </c>
      <c r="D299" s="2">
        <v>25</v>
      </c>
      <c r="E299" s="2">
        <v>30</v>
      </c>
      <c r="F299">
        <v>9</v>
      </c>
      <c r="G299">
        <v>6</v>
      </c>
      <c r="H299">
        <f t="shared" si="1"/>
        <v>3</v>
      </c>
      <c r="I299" s="1">
        <v>44930</v>
      </c>
      <c r="J299" t="s">
        <v>35</v>
      </c>
    </row>
    <row r="300" spans="1:10" x14ac:dyDescent="0.25">
      <c r="A300" t="s">
        <v>32</v>
      </c>
      <c r="B300" t="s">
        <v>30</v>
      </c>
      <c r="C300" t="s">
        <v>75</v>
      </c>
      <c r="D300" s="2">
        <v>25</v>
      </c>
      <c r="E300" s="2">
        <v>30</v>
      </c>
      <c r="F300">
        <v>5</v>
      </c>
      <c r="G300">
        <v>5</v>
      </c>
      <c r="H300">
        <f t="shared" si="1"/>
        <v>0</v>
      </c>
      <c r="I300" s="1">
        <v>44930</v>
      </c>
      <c r="J300" t="s">
        <v>35</v>
      </c>
    </row>
    <row r="301" spans="1:10" x14ac:dyDescent="0.25">
      <c r="A301" t="s">
        <v>33</v>
      </c>
      <c r="B301" t="s">
        <v>30</v>
      </c>
      <c r="C301" t="s">
        <v>76</v>
      </c>
      <c r="D301" s="2">
        <v>30</v>
      </c>
      <c r="E301" s="2">
        <v>35</v>
      </c>
      <c r="F301">
        <v>0</v>
      </c>
      <c r="G301">
        <v>0</v>
      </c>
      <c r="H301">
        <f t="shared" si="1"/>
        <v>0</v>
      </c>
      <c r="I301" s="1">
        <v>44930</v>
      </c>
      <c r="J301" t="s">
        <v>35</v>
      </c>
    </row>
    <row r="302" spans="1:10" x14ac:dyDescent="0.25">
      <c r="A302" t="s">
        <v>2</v>
      </c>
      <c r="B302" t="s">
        <v>3</v>
      </c>
      <c r="C302" t="s">
        <v>48</v>
      </c>
      <c r="D302" s="2">
        <v>100</v>
      </c>
      <c r="E302" s="2">
        <v>200</v>
      </c>
      <c r="F302">
        <v>6</v>
      </c>
      <c r="G302">
        <v>2</v>
      </c>
      <c r="H302">
        <f t="shared" si="1"/>
        <v>4</v>
      </c>
      <c r="I302" s="1">
        <v>44931</v>
      </c>
      <c r="J302" t="s">
        <v>36</v>
      </c>
    </row>
    <row r="303" spans="1:10" x14ac:dyDescent="0.25">
      <c r="A303" t="s">
        <v>7</v>
      </c>
      <c r="B303" t="s">
        <v>3</v>
      </c>
      <c r="C303" t="s">
        <v>77</v>
      </c>
      <c r="D303" s="2">
        <v>200</v>
      </c>
      <c r="E303" s="2">
        <v>300</v>
      </c>
      <c r="F303">
        <v>3</v>
      </c>
      <c r="G303">
        <v>2</v>
      </c>
      <c r="H303">
        <f t="shared" si="1"/>
        <v>1</v>
      </c>
      <c r="I303" s="1">
        <v>44931</v>
      </c>
      <c r="J303" t="s">
        <v>36</v>
      </c>
    </row>
    <row r="304" spans="1:10" x14ac:dyDescent="0.25">
      <c r="A304" t="s">
        <v>23</v>
      </c>
      <c r="B304" t="s">
        <v>3</v>
      </c>
      <c r="C304" t="s">
        <v>52</v>
      </c>
      <c r="D304" s="2">
        <v>150</v>
      </c>
      <c r="E304" s="2">
        <v>250</v>
      </c>
      <c r="F304">
        <v>3</v>
      </c>
      <c r="G304">
        <v>2</v>
      </c>
      <c r="H304">
        <f t="shared" si="1"/>
        <v>1</v>
      </c>
      <c r="I304" s="1">
        <v>44931</v>
      </c>
      <c r="J304" t="s">
        <v>36</v>
      </c>
    </row>
    <row r="305" spans="1:10" x14ac:dyDescent="0.25">
      <c r="A305" t="s">
        <v>9</v>
      </c>
      <c r="B305" t="s">
        <v>3</v>
      </c>
      <c r="C305" t="s">
        <v>53</v>
      </c>
      <c r="D305" s="2">
        <v>100</v>
      </c>
      <c r="E305" s="2">
        <v>200</v>
      </c>
      <c r="F305">
        <v>2</v>
      </c>
      <c r="G305">
        <v>2</v>
      </c>
      <c r="H305">
        <f t="shared" si="1"/>
        <v>0</v>
      </c>
      <c r="I305" s="1">
        <v>44931</v>
      </c>
      <c r="J305" t="s">
        <v>36</v>
      </c>
    </row>
    <row r="306" spans="1:10" x14ac:dyDescent="0.25">
      <c r="A306" t="s">
        <v>2</v>
      </c>
      <c r="B306" t="s">
        <v>12</v>
      </c>
      <c r="C306" t="s">
        <v>49</v>
      </c>
      <c r="D306" s="2">
        <v>250</v>
      </c>
      <c r="E306" s="2">
        <v>350</v>
      </c>
      <c r="F306">
        <v>3</v>
      </c>
      <c r="G306">
        <v>2</v>
      </c>
      <c r="H306">
        <f t="shared" si="1"/>
        <v>1</v>
      </c>
      <c r="I306" s="1">
        <v>44931</v>
      </c>
      <c r="J306" t="s">
        <v>36</v>
      </c>
    </row>
    <row r="307" spans="1:10" x14ac:dyDescent="0.25">
      <c r="A307" t="s">
        <v>7</v>
      </c>
      <c r="B307" t="s">
        <v>12</v>
      </c>
      <c r="C307" t="s">
        <v>54</v>
      </c>
      <c r="D307" s="2">
        <v>300</v>
      </c>
      <c r="E307" s="2">
        <v>400</v>
      </c>
      <c r="F307">
        <v>1</v>
      </c>
      <c r="G307">
        <v>0</v>
      </c>
      <c r="H307">
        <f t="shared" si="1"/>
        <v>1</v>
      </c>
      <c r="I307" s="1">
        <v>44931</v>
      </c>
      <c r="J307" t="s">
        <v>36</v>
      </c>
    </row>
    <row r="308" spans="1:10" x14ac:dyDescent="0.25">
      <c r="A308" t="s">
        <v>8</v>
      </c>
      <c r="B308" t="s">
        <v>12</v>
      </c>
      <c r="C308" t="s">
        <v>55</v>
      </c>
      <c r="D308" s="2">
        <v>250</v>
      </c>
      <c r="E308" s="2">
        <v>350</v>
      </c>
      <c r="F308">
        <v>3</v>
      </c>
      <c r="G308">
        <v>2</v>
      </c>
      <c r="H308">
        <f t="shared" si="1"/>
        <v>1</v>
      </c>
      <c r="I308" s="1">
        <v>44931</v>
      </c>
      <c r="J308" t="s">
        <v>36</v>
      </c>
    </row>
    <row r="309" spans="1:10" x14ac:dyDescent="0.25">
      <c r="A309" t="s">
        <v>9</v>
      </c>
      <c r="B309" t="s">
        <v>12</v>
      </c>
      <c r="C309" t="s">
        <v>56</v>
      </c>
      <c r="D309" s="2">
        <v>250</v>
      </c>
      <c r="E309" s="2">
        <v>350</v>
      </c>
      <c r="F309">
        <v>1</v>
      </c>
      <c r="G309">
        <v>1</v>
      </c>
      <c r="H309">
        <f t="shared" si="1"/>
        <v>0</v>
      </c>
      <c r="I309" s="1">
        <v>44931</v>
      </c>
      <c r="J309" t="s">
        <v>36</v>
      </c>
    </row>
    <row r="310" spans="1:10" x14ac:dyDescent="0.25">
      <c r="A310" t="s">
        <v>13</v>
      </c>
      <c r="B310" t="s">
        <v>12</v>
      </c>
      <c r="C310" t="s">
        <v>57</v>
      </c>
      <c r="D310" s="2">
        <v>300</v>
      </c>
      <c r="E310" s="2">
        <v>450</v>
      </c>
      <c r="F310">
        <v>2</v>
      </c>
      <c r="G310">
        <v>1</v>
      </c>
      <c r="H310">
        <f t="shared" si="1"/>
        <v>1</v>
      </c>
      <c r="I310" s="1">
        <v>44931</v>
      </c>
      <c r="J310" t="s">
        <v>36</v>
      </c>
    </row>
    <row r="311" spans="1:10" x14ac:dyDescent="0.25">
      <c r="A311" t="s">
        <v>14</v>
      </c>
      <c r="B311" t="s">
        <v>16</v>
      </c>
      <c r="C311" t="s">
        <v>50</v>
      </c>
      <c r="D311" s="2">
        <v>320</v>
      </c>
      <c r="E311" s="2">
        <v>400</v>
      </c>
      <c r="F311">
        <v>0</v>
      </c>
      <c r="G311">
        <v>0</v>
      </c>
      <c r="H311">
        <f t="shared" si="1"/>
        <v>0</v>
      </c>
      <c r="I311" s="1">
        <v>44931</v>
      </c>
      <c r="J311" t="s">
        <v>36</v>
      </c>
    </row>
    <row r="312" spans="1:10" x14ac:dyDescent="0.25">
      <c r="A312" t="s">
        <v>15</v>
      </c>
      <c r="B312" t="s">
        <v>16</v>
      </c>
      <c r="C312" t="s">
        <v>58</v>
      </c>
      <c r="D312" s="2">
        <v>100</v>
      </c>
      <c r="E312" s="2">
        <v>150</v>
      </c>
      <c r="F312">
        <v>6</v>
      </c>
      <c r="G312">
        <v>5</v>
      </c>
      <c r="H312">
        <f t="shared" si="1"/>
        <v>1</v>
      </c>
      <c r="I312" s="1">
        <v>44931</v>
      </c>
      <c r="J312" t="s">
        <v>36</v>
      </c>
    </row>
    <row r="313" spans="1:10" x14ac:dyDescent="0.25">
      <c r="A313" t="s">
        <v>2</v>
      </c>
      <c r="B313" t="s">
        <v>21</v>
      </c>
      <c r="C313" t="s">
        <v>51</v>
      </c>
      <c r="D313" s="2">
        <v>25</v>
      </c>
      <c r="E313" s="2">
        <v>40</v>
      </c>
      <c r="F313">
        <v>19</v>
      </c>
      <c r="G313">
        <v>1</v>
      </c>
      <c r="H313">
        <f t="shared" si="1"/>
        <v>18</v>
      </c>
      <c r="I313" s="1">
        <v>44931</v>
      </c>
      <c r="J313" t="s">
        <v>36</v>
      </c>
    </row>
    <row r="314" spans="1:10" x14ac:dyDescent="0.25">
      <c r="A314" t="s">
        <v>7</v>
      </c>
      <c r="B314" t="s">
        <v>21</v>
      </c>
      <c r="C314" t="s">
        <v>59</v>
      </c>
      <c r="D314" s="2">
        <v>30</v>
      </c>
      <c r="E314" s="2">
        <v>50</v>
      </c>
      <c r="F314">
        <v>8</v>
      </c>
      <c r="G314">
        <v>8</v>
      </c>
      <c r="H314">
        <f t="shared" si="1"/>
        <v>0</v>
      </c>
      <c r="I314" s="1">
        <v>44931</v>
      </c>
      <c r="J314" t="s">
        <v>36</v>
      </c>
    </row>
    <row r="315" spans="1:10" x14ac:dyDescent="0.25">
      <c r="A315" t="s">
        <v>9</v>
      </c>
      <c r="B315" t="s">
        <v>21</v>
      </c>
      <c r="C315" t="s">
        <v>60</v>
      </c>
      <c r="D315" s="2">
        <v>25</v>
      </c>
      <c r="E315" s="2">
        <v>40</v>
      </c>
      <c r="F315">
        <v>15</v>
      </c>
      <c r="G315">
        <v>12</v>
      </c>
      <c r="H315">
        <f t="shared" si="1"/>
        <v>3</v>
      </c>
      <c r="I315" s="1">
        <v>44931</v>
      </c>
      <c r="J315" t="s">
        <v>36</v>
      </c>
    </row>
    <row r="316" spans="1:10" x14ac:dyDescent="0.25">
      <c r="A316" t="s">
        <v>23</v>
      </c>
      <c r="B316" t="s">
        <v>21</v>
      </c>
      <c r="C316" t="s">
        <v>61</v>
      </c>
      <c r="D316" s="2">
        <v>25</v>
      </c>
      <c r="E316" s="2">
        <v>40</v>
      </c>
      <c r="F316">
        <v>20</v>
      </c>
      <c r="G316">
        <v>11</v>
      </c>
      <c r="H316">
        <f t="shared" si="1"/>
        <v>9</v>
      </c>
      <c r="I316" s="1">
        <v>44931</v>
      </c>
      <c r="J316" t="s">
        <v>36</v>
      </c>
    </row>
    <row r="317" spans="1:10" x14ac:dyDescent="0.25">
      <c r="A317" t="s">
        <v>13</v>
      </c>
      <c r="B317" t="s">
        <v>21</v>
      </c>
      <c r="C317" t="s">
        <v>62</v>
      </c>
      <c r="D317" s="2">
        <v>30</v>
      </c>
      <c r="E317" s="2">
        <v>55</v>
      </c>
      <c r="F317">
        <v>8</v>
      </c>
      <c r="G317">
        <v>8</v>
      </c>
      <c r="H317">
        <f t="shared" si="1"/>
        <v>0</v>
      </c>
      <c r="I317" s="1">
        <v>44931</v>
      </c>
      <c r="J317" t="s">
        <v>36</v>
      </c>
    </row>
    <row r="318" spans="1:10" x14ac:dyDescent="0.25">
      <c r="A318" t="s">
        <v>17</v>
      </c>
      <c r="B318" t="s">
        <v>21</v>
      </c>
      <c r="C318" t="s">
        <v>63</v>
      </c>
      <c r="D318" s="2">
        <v>40</v>
      </c>
      <c r="E318" s="2">
        <v>65</v>
      </c>
      <c r="F318">
        <v>19</v>
      </c>
      <c r="G318">
        <v>8</v>
      </c>
      <c r="H318">
        <f t="shared" si="1"/>
        <v>11</v>
      </c>
      <c r="I318" s="1">
        <v>44931</v>
      </c>
      <c r="J318" t="s">
        <v>36</v>
      </c>
    </row>
    <row r="319" spans="1:10" x14ac:dyDescent="0.25">
      <c r="A319" t="s">
        <v>34</v>
      </c>
      <c r="B319" t="s">
        <v>21</v>
      </c>
      <c r="C319" t="s">
        <v>64</v>
      </c>
      <c r="D319" s="2">
        <v>50</v>
      </c>
      <c r="E319" s="2">
        <v>70</v>
      </c>
      <c r="F319">
        <v>0</v>
      </c>
      <c r="G319">
        <v>0</v>
      </c>
      <c r="H319">
        <f t="shared" si="1"/>
        <v>0</v>
      </c>
      <c r="I319" s="1">
        <v>44931</v>
      </c>
      <c r="J319" t="s">
        <v>36</v>
      </c>
    </row>
    <row r="320" spans="1:10" x14ac:dyDescent="0.25">
      <c r="A320" t="s">
        <v>18</v>
      </c>
      <c r="B320" t="s">
        <v>21</v>
      </c>
      <c r="C320" t="s">
        <v>65</v>
      </c>
      <c r="D320" s="2">
        <v>20</v>
      </c>
      <c r="E320" s="2">
        <v>30</v>
      </c>
      <c r="F320">
        <v>22</v>
      </c>
      <c r="G320">
        <v>20</v>
      </c>
      <c r="H320">
        <f t="shared" si="1"/>
        <v>2</v>
      </c>
      <c r="I320" s="1">
        <v>44931</v>
      </c>
      <c r="J320" t="s">
        <v>36</v>
      </c>
    </row>
    <row r="321" spans="1:10" x14ac:dyDescent="0.25">
      <c r="A321" t="s">
        <v>19</v>
      </c>
      <c r="B321" t="s">
        <v>21</v>
      </c>
      <c r="C321" t="s">
        <v>66</v>
      </c>
      <c r="D321" s="2">
        <v>10</v>
      </c>
      <c r="E321" s="2">
        <v>20</v>
      </c>
      <c r="F321">
        <v>11</v>
      </c>
      <c r="G321">
        <v>11</v>
      </c>
      <c r="H321">
        <f t="shared" si="1"/>
        <v>0</v>
      </c>
      <c r="I321" s="1">
        <v>44931</v>
      </c>
      <c r="J321" t="s">
        <v>36</v>
      </c>
    </row>
    <row r="322" spans="1:10" x14ac:dyDescent="0.25">
      <c r="A322" t="s">
        <v>20</v>
      </c>
      <c r="B322" t="s">
        <v>21</v>
      </c>
      <c r="C322" t="s">
        <v>67</v>
      </c>
      <c r="D322" s="2">
        <v>60</v>
      </c>
      <c r="E322" s="2">
        <v>100</v>
      </c>
      <c r="F322">
        <v>4</v>
      </c>
      <c r="G322">
        <v>4</v>
      </c>
      <c r="H322">
        <f t="shared" si="1"/>
        <v>0</v>
      </c>
      <c r="I322" s="1">
        <v>44931</v>
      </c>
      <c r="J322" t="s">
        <v>36</v>
      </c>
    </row>
    <row r="323" spans="1:10" x14ac:dyDescent="0.25">
      <c r="A323" t="s">
        <v>22</v>
      </c>
      <c r="B323" t="s">
        <v>24</v>
      </c>
      <c r="C323" t="s">
        <v>68</v>
      </c>
      <c r="D323" s="2">
        <v>50</v>
      </c>
      <c r="E323" s="2">
        <v>70</v>
      </c>
      <c r="F323">
        <v>4</v>
      </c>
      <c r="G323">
        <v>0</v>
      </c>
      <c r="H323">
        <f t="shared" si="1"/>
        <v>4</v>
      </c>
      <c r="I323" s="1">
        <v>44931</v>
      </c>
      <c r="J323" t="s">
        <v>36</v>
      </c>
    </row>
    <row r="324" spans="1:10" x14ac:dyDescent="0.25">
      <c r="A324" t="s">
        <v>25</v>
      </c>
      <c r="B324" t="s">
        <v>24</v>
      </c>
      <c r="C324" t="s">
        <v>69</v>
      </c>
      <c r="D324" s="2">
        <v>45</v>
      </c>
      <c r="E324" s="2">
        <v>65</v>
      </c>
      <c r="F324">
        <v>4</v>
      </c>
      <c r="G324">
        <v>4</v>
      </c>
      <c r="H324">
        <f t="shared" si="1"/>
        <v>0</v>
      </c>
      <c r="I324" s="1">
        <v>44931</v>
      </c>
      <c r="J324" t="s">
        <v>36</v>
      </c>
    </row>
    <row r="325" spans="1:10" x14ac:dyDescent="0.25">
      <c r="A325" t="s">
        <v>26</v>
      </c>
      <c r="B325" t="s">
        <v>24</v>
      </c>
      <c r="C325" t="s">
        <v>70</v>
      </c>
      <c r="D325" s="2">
        <v>50</v>
      </c>
      <c r="E325" s="2">
        <v>70</v>
      </c>
      <c r="F325">
        <v>0</v>
      </c>
      <c r="G325">
        <v>0</v>
      </c>
      <c r="H325">
        <f t="shared" si="1"/>
        <v>0</v>
      </c>
      <c r="I325" s="1">
        <v>44931</v>
      </c>
      <c r="J325" t="s">
        <v>36</v>
      </c>
    </row>
    <row r="326" spans="1:10" x14ac:dyDescent="0.25">
      <c r="A326" t="s">
        <v>27</v>
      </c>
      <c r="B326" t="s">
        <v>24</v>
      </c>
      <c r="C326" t="s">
        <v>71</v>
      </c>
      <c r="D326" s="2">
        <v>10</v>
      </c>
      <c r="E326" s="2">
        <v>15</v>
      </c>
      <c r="F326">
        <v>10</v>
      </c>
      <c r="G326">
        <v>5</v>
      </c>
      <c r="H326">
        <f t="shared" si="1"/>
        <v>5</v>
      </c>
      <c r="I326" s="1">
        <v>44931</v>
      </c>
      <c r="J326" t="s">
        <v>36</v>
      </c>
    </row>
    <row r="327" spans="1:10" x14ac:dyDescent="0.25">
      <c r="A327" t="s">
        <v>28</v>
      </c>
      <c r="B327" t="s">
        <v>24</v>
      </c>
      <c r="C327" t="s">
        <v>72</v>
      </c>
      <c r="D327" s="2">
        <v>20</v>
      </c>
      <c r="E327" s="2">
        <v>25</v>
      </c>
      <c r="F327">
        <v>5</v>
      </c>
      <c r="G327">
        <v>2</v>
      </c>
      <c r="H327">
        <f t="shared" si="1"/>
        <v>3</v>
      </c>
      <c r="I327" s="1">
        <v>44931</v>
      </c>
      <c r="J327" t="s">
        <v>36</v>
      </c>
    </row>
    <row r="328" spans="1:10" x14ac:dyDescent="0.25">
      <c r="A328" t="s">
        <v>29</v>
      </c>
      <c r="B328" t="s">
        <v>30</v>
      </c>
      <c r="C328" t="s">
        <v>73</v>
      </c>
      <c r="D328" s="2">
        <v>25</v>
      </c>
      <c r="E328" s="2">
        <v>30</v>
      </c>
      <c r="F328">
        <v>9</v>
      </c>
      <c r="G328">
        <v>6</v>
      </c>
      <c r="H328">
        <f t="shared" si="1"/>
        <v>3</v>
      </c>
      <c r="I328" s="1">
        <v>44931</v>
      </c>
      <c r="J328" t="s">
        <v>36</v>
      </c>
    </row>
    <row r="329" spans="1:10" x14ac:dyDescent="0.25">
      <c r="A329" t="s">
        <v>31</v>
      </c>
      <c r="B329" t="s">
        <v>30</v>
      </c>
      <c r="C329" t="s">
        <v>74</v>
      </c>
      <c r="D329" s="2">
        <v>25</v>
      </c>
      <c r="E329" s="2">
        <v>30</v>
      </c>
      <c r="F329">
        <v>6</v>
      </c>
      <c r="G329">
        <v>4</v>
      </c>
      <c r="H329">
        <f t="shared" si="1"/>
        <v>2</v>
      </c>
      <c r="I329" s="1">
        <v>44931</v>
      </c>
      <c r="J329" t="s">
        <v>36</v>
      </c>
    </row>
    <row r="330" spans="1:10" x14ac:dyDescent="0.25">
      <c r="A330" t="s">
        <v>32</v>
      </c>
      <c r="B330" t="s">
        <v>30</v>
      </c>
      <c r="C330" t="s">
        <v>75</v>
      </c>
      <c r="D330" s="2">
        <v>25</v>
      </c>
      <c r="E330" s="2">
        <v>30</v>
      </c>
      <c r="F330">
        <v>5</v>
      </c>
      <c r="G330">
        <v>5</v>
      </c>
      <c r="H330">
        <f t="shared" si="1"/>
        <v>0</v>
      </c>
      <c r="I330" s="1">
        <v>44931</v>
      </c>
      <c r="J330" t="s">
        <v>36</v>
      </c>
    </row>
    <row r="331" spans="1:10" x14ac:dyDescent="0.25">
      <c r="A331" t="s">
        <v>33</v>
      </c>
      <c r="B331" t="s">
        <v>30</v>
      </c>
      <c r="C331" t="s">
        <v>76</v>
      </c>
      <c r="D331" s="2">
        <v>30</v>
      </c>
      <c r="E331" s="2">
        <v>35</v>
      </c>
      <c r="F331">
        <v>10</v>
      </c>
      <c r="G331">
        <v>8</v>
      </c>
      <c r="H331">
        <f t="shared" si="1"/>
        <v>2</v>
      </c>
      <c r="I331" s="1">
        <v>44931</v>
      </c>
      <c r="J331" t="s">
        <v>36</v>
      </c>
    </row>
    <row r="332" spans="1:10" x14ac:dyDescent="0.25">
      <c r="A332" t="s">
        <v>2</v>
      </c>
      <c r="B332" t="s">
        <v>3</v>
      </c>
      <c r="C332" t="s">
        <v>48</v>
      </c>
      <c r="D332" s="2">
        <v>100</v>
      </c>
      <c r="E332" s="2">
        <v>200</v>
      </c>
      <c r="F332">
        <v>2</v>
      </c>
      <c r="G332">
        <v>0</v>
      </c>
      <c r="H332">
        <f t="shared" si="1"/>
        <v>2</v>
      </c>
      <c r="I332" s="1">
        <v>44932</v>
      </c>
      <c r="J332" t="s">
        <v>37</v>
      </c>
    </row>
    <row r="333" spans="1:10" x14ac:dyDescent="0.25">
      <c r="A333" t="s">
        <v>7</v>
      </c>
      <c r="B333" t="s">
        <v>3</v>
      </c>
      <c r="C333" t="s">
        <v>77</v>
      </c>
      <c r="D333" s="2">
        <v>200</v>
      </c>
      <c r="E333" s="2">
        <v>300</v>
      </c>
      <c r="F333">
        <v>2</v>
      </c>
      <c r="G333">
        <v>0</v>
      </c>
      <c r="H333">
        <f t="shared" si="1"/>
        <v>2</v>
      </c>
      <c r="I333" s="1">
        <v>44932</v>
      </c>
      <c r="J333" t="s">
        <v>37</v>
      </c>
    </row>
    <row r="334" spans="1:10" x14ac:dyDescent="0.25">
      <c r="A334" t="s">
        <v>23</v>
      </c>
      <c r="B334" t="s">
        <v>3</v>
      </c>
      <c r="C334" t="s">
        <v>52</v>
      </c>
      <c r="D334" s="2">
        <v>150</v>
      </c>
      <c r="E334" s="2">
        <v>250</v>
      </c>
      <c r="F334">
        <v>2</v>
      </c>
      <c r="G334">
        <v>0</v>
      </c>
      <c r="H334">
        <f t="shared" si="1"/>
        <v>2</v>
      </c>
      <c r="I334" s="1">
        <v>44932</v>
      </c>
      <c r="J334" t="s">
        <v>37</v>
      </c>
    </row>
    <row r="335" spans="1:10" x14ac:dyDescent="0.25">
      <c r="A335" t="s">
        <v>9</v>
      </c>
      <c r="B335" t="s">
        <v>3</v>
      </c>
      <c r="C335" t="s">
        <v>53</v>
      </c>
      <c r="D335" s="2">
        <v>100</v>
      </c>
      <c r="E335" s="2">
        <v>200</v>
      </c>
      <c r="F335">
        <v>2</v>
      </c>
      <c r="G335">
        <v>0</v>
      </c>
      <c r="H335">
        <f t="shared" si="1"/>
        <v>2</v>
      </c>
      <c r="I335" s="1">
        <v>44932</v>
      </c>
      <c r="J335" t="s">
        <v>37</v>
      </c>
    </row>
    <row r="336" spans="1:10" x14ac:dyDescent="0.25">
      <c r="A336" t="s">
        <v>2</v>
      </c>
      <c r="B336" t="s">
        <v>12</v>
      </c>
      <c r="C336" t="s">
        <v>49</v>
      </c>
      <c r="D336" s="2">
        <v>250</v>
      </c>
      <c r="E336" s="2">
        <v>350</v>
      </c>
      <c r="F336">
        <v>2</v>
      </c>
      <c r="G336">
        <v>2</v>
      </c>
      <c r="H336">
        <f t="shared" si="1"/>
        <v>0</v>
      </c>
      <c r="I336" s="1">
        <v>44932</v>
      </c>
      <c r="J336" t="s">
        <v>37</v>
      </c>
    </row>
    <row r="337" spans="1:10" x14ac:dyDescent="0.25">
      <c r="A337" t="s">
        <v>7</v>
      </c>
      <c r="B337" t="s">
        <v>12</v>
      </c>
      <c r="C337" t="s">
        <v>54</v>
      </c>
      <c r="D337" s="2">
        <v>300</v>
      </c>
      <c r="E337" s="2">
        <v>400</v>
      </c>
      <c r="F337">
        <v>0</v>
      </c>
      <c r="G337">
        <v>0</v>
      </c>
      <c r="H337">
        <f t="shared" si="1"/>
        <v>0</v>
      </c>
      <c r="I337" s="1">
        <v>44932</v>
      </c>
      <c r="J337" t="s">
        <v>37</v>
      </c>
    </row>
    <row r="338" spans="1:10" x14ac:dyDescent="0.25">
      <c r="A338" t="s">
        <v>8</v>
      </c>
      <c r="B338" t="s">
        <v>12</v>
      </c>
      <c r="C338" t="s">
        <v>55</v>
      </c>
      <c r="D338" s="2">
        <v>250</v>
      </c>
      <c r="E338" s="2">
        <v>350</v>
      </c>
      <c r="F338">
        <v>2</v>
      </c>
      <c r="G338">
        <v>1</v>
      </c>
      <c r="H338">
        <f t="shared" si="1"/>
        <v>1</v>
      </c>
      <c r="I338" s="1">
        <v>44932</v>
      </c>
      <c r="J338" t="s">
        <v>37</v>
      </c>
    </row>
    <row r="339" spans="1:10" x14ac:dyDescent="0.25">
      <c r="A339" t="s">
        <v>9</v>
      </c>
      <c r="B339" t="s">
        <v>12</v>
      </c>
      <c r="C339" t="s">
        <v>56</v>
      </c>
      <c r="D339" s="2">
        <v>250</v>
      </c>
      <c r="E339" s="2">
        <v>350</v>
      </c>
      <c r="F339">
        <v>1</v>
      </c>
      <c r="G339">
        <v>1</v>
      </c>
      <c r="H339">
        <f t="shared" si="1"/>
        <v>0</v>
      </c>
      <c r="I339" s="1">
        <v>44932</v>
      </c>
      <c r="J339" t="s">
        <v>37</v>
      </c>
    </row>
    <row r="340" spans="1:10" x14ac:dyDescent="0.25">
      <c r="A340" t="s">
        <v>13</v>
      </c>
      <c r="B340" t="s">
        <v>12</v>
      </c>
      <c r="C340" t="s">
        <v>57</v>
      </c>
      <c r="D340" s="2">
        <v>300</v>
      </c>
      <c r="E340" s="2">
        <v>450</v>
      </c>
      <c r="F340">
        <v>1</v>
      </c>
      <c r="G340">
        <v>1</v>
      </c>
      <c r="H340">
        <f t="shared" si="1"/>
        <v>0</v>
      </c>
      <c r="I340" s="1">
        <v>44932</v>
      </c>
      <c r="J340" t="s">
        <v>37</v>
      </c>
    </row>
    <row r="341" spans="1:10" x14ac:dyDescent="0.25">
      <c r="A341" t="s">
        <v>14</v>
      </c>
      <c r="B341" t="s">
        <v>16</v>
      </c>
      <c r="C341" t="s">
        <v>50</v>
      </c>
      <c r="D341" s="2">
        <v>320</v>
      </c>
      <c r="E341" s="2">
        <v>400</v>
      </c>
      <c r="F341">
        <v>0</v>
      </c>
      <c r="G341">
        <v>0</v>
      </c>
      <c r="H341">
        <f t="shared" si="1"/>
        <v>0</v>
      </c>
      <c r="I341" s="1">
        <v>44932</v>
      </c>
      <c r="J341" t="s">
        <v>37</v>
      </c>
    </row>
    <row r="342" spans="1:10" x14ac:dyDescent="0.25">
      <c r="A342" t="s">
        <v>15</v>
      </c>
      <c r="B342" t="s">
        <v>16</v>
      </c>
      <c r="C342" t="s">
        <v>58</v>
      </c>
      <c r="D342" s="2">
        <v>100</v>
      </c>
      <c r="E342" s="2">
        <v>150</v>
      </c>
      <c r="F342">
        <v>5</v>
      </c>
      <c r="G342">
        <v>5</v>
      </c>
      <c r="H342">
        <f t="shared" si="1"/>
        <v>0</v>
      </c>
      <c r="I342" s="1">
        <v>44932</v>
      </c>
      <c r="J342" t="s">
        <v>37</v>
      </c>
    </row>
    <row r="343" spans="1:10" x14ac:dyDescent="0.25">
      <c r="A343" t="s">
        <v>2</v>
      </c>
      <c r="B343" t="s">
        <v>21</v>
      </c>
      <c r="C343" t="s">
        <v>51</v>
      </c>
      <c r="D343" s="2">
        <v>25</v>
      </c>
      <c r="E343" s="2">
        <v>40</v>
      </c>
      <c r="F343">
        <v>9</v>
      </c>
      <c r="G343">
        <v>9</v>
      </c>
      <c r="H343">
        <f t="shared" si="1"/>
        <v>0</v>
      </c>
      <c r="I343" s="1">
        <v>44932</v>
      </c>
      <c r="J343" t="s">
        <v>37</v>
      </c>
    </row>
    <row r="344" spans="1:10" x14ac:dyDescent="0.25">
      <c r="A344" t="s">
        <v>7</v>
      </c>
      <c r="B344" t="s">
        <v>21</v>
      </c>
      <c r="C344" t="s">
        <v>59</v>
      </c>
      <c r="D344" s="2">
        <v>30</v>
      </c>
      <c r="E344" s="2">
        <v>50</v>
      </c>
      <c r="F344">
        <v>16</v>
      </c>
      <c r="G344">
        <v>8</v>
      </c>
      <c r="H344">
        <f t="shared" si="1"/>
        <v>8</v>
      </c>
      <c r="I344" s="1">
        <v>44932</v>
      </c>
      <c r="J344" t="s">
        <v>37</v>
      </c>
    </row>
    <row r="345" spans="1:10" x14ac:dyDescent="0.25">
      <c r="A345" t="s">
        <v>9</v>
      </c>
      <c r="B345" t="s">
        <v>21</v>
      </c>
      <c r="C345" t="s">
        <v>60</v>
      </c>
      <c r="D345" s="2">
        <v>25</v>
      </c>
      <c r="E345" s="2">
        <v>40</v>
      </c>
      <c r="F345">
        <v>12</v>
      </c>
      <c r="G345">
        <v>8</v>
      </c>
      <c r="H345">
        <f t="shared" si="1"/>
        <v>4</v>
      </c>
      <c r="I345" s="1">
        <v>44932</v>
      </c>
      <c r="J345" t="s">
        <v>37</v>
      </c>
    </row>
    <row r="346" spans="1:10" x14ac:dyDescent="0.25">
      <c r="A346" t="s">
        <v>23</v>
      </c>
      <c r="B346" t="s">
        <v>21</v>
      </c>
      <c r="C346" t="s">
        <v>61</v>
      </c>
      <c r="D346" s="2">
        <v>25</v>
      </c>
      <c r="E346" s="2">
        <v>40</v>
      </c>
      <c r="F346">
        <v>27</v>
      </c>
      <c r="G346">
        <v>13</v>
      </c>
      <c r="H346">
        <f t="shared" si="1"/>
        <v>14</v>
      </c>
      <c r="I346" s="1">
        <v>44932</v>
      </c>
      <c r="J346" t="s">
        <v>37</v>
      </c>
    </row>
    <row r="347" spans="1:10" x14ac:dyDescent="0.25">
      <c r="A347" t="s">
        <v>13</v>
      </c>
      <c r="B347" t="s">
        <v>21</v>
      </c>
      <c r="C347" t="s">
        <v>62</v>
      </c>
      <c r="D347" s="2">
        <v>30</v>
      </c>
      <c r="E347" s="2">
        <v>55</v>
      </c>
      <c r="F347">
        <v>16</v>
      </c>
      <c r="G347">
        <v>8</v>
      </c>
      <c r="H347">
        <f t="shared" si="1"/>
        <v>8</v>
      </c>
      <c r="I347" s="1">
        <v>44932</v>
      </c>
      <c r="J347" t="s">
        <v>37</v>
      </c>
    </row>
    <row r="348" spans="1:10" x14ac:dyDescent="0.25">
      <c r="A348" t="s">
        <v>17</v>
      </c>
      <c r="B348" t="s">
        <v>21</v>
      </c>
      <c r="C348" t="s">
        <v>63</v>
      </c>
      <c r="D348" s="2">
        <v>40</v>
      </c>
      <c r="E348" s="2">
        <v>65</v>
      </c>
      <c r="F348">
        <v>8</v>
      </c>
      <c r="G348">
        <v>8</v>
      </c>
      <c r="H348">
        <f t="shared" si="1"/>
        <v>0</v>
      </c>
      <c r="I348" s="1">
        <v>44932</v>
      </c>
      <c r="J348" t="s">
        <v>37</v>
      </c>
    </row>
    <row r="349" spans="1:10" x14ac:dyDescent="0.25">
      <c r="A349" t="s">
        <v>34</v>
      </c>
      <c r="B349" t="s">
        <v>21</v>
      </c>
      <c r="C349" t="s">
        <v>64</v>
      </c>
      <c r="D349" s="2">
        <v>50</v>
      </c>
      <c r="E349" s="2">
        <v>70</v>
      </c>
      <c r="F349">
        <v>0</v>
      </c>
      <c r="G349">
        <v>0</v>
      </c>
      <c r="H349">
        <f t="shared" si="1"/>
        <v>0</v>
      </c>
      <c r="I349" s="1">
        <v>44932</v>
      </c>
      <c r="J349" t="s">
        <v>37</v>
      </c>
    </row>
    <row r="350" spans="1:10" x14ac:dyDescent="0.25">
      <c r="A350" t="s">
        <v>18</v>
      </c>
      <c r="B350" t="s">
        <v>21</v>
      </c>
      <c r="C350" t="s">
        <v>65</v>
      </c>
      <c r="D350" s="2">
        <v>20</v>
      </c>
      <c r="E350" s="2">
        <v>30</v>
      </c>
      <c r="F350">
        <v>20</v>
      </c>
      <c r="G350">
        <v>15</v>
      </c>
      <c r="H350">
        <f t="shared" si="1"/>
        <v>5</v>
      </c>
      <c r="I350" s="1">
        <v>44932</v>
      </c>
      <c r="J350" t="s">
        <v>37</v>
      </c>
    </row>
    <row r="351" spans="1:10" x14ac:dyDescent="0.25">
      <c r="A351" t="s">
        <v>19</v>
      </c>
      <c r="B351" t="s">
        <v>21</v>
      </c>
      <c r="C351" t="s">
        <v>66</v>
      </c>
      <c r="D351" s="2">
        <v>10</v>
      </c>
      <c r="E351" s="2">
        <v>20</v>
      </c>
      <c r="F351">
        <v>11</v>
      </c>
      <c r="G351">
        <v>11</v>
      </c>
      <c r="H351">
        <f t="shared" si="1"/>
        <v>0</v>
      </c>
      <c r="I351" s="1">
        <v>44932</v>
      </c>
      <c r="J351" t="s">
        <v>37</v>
      </c>
    </row>
    <row r="352" spans="1:10" x14ac:dyDescent="0.25">
      <c r="A352" t="s">
        <v>20</v>
      </c>
      <c r="B352" t="s">
        <v>21</v>
      </c>
      <c r="C352" t="s">
        <v>67</v>
      </c>
      <c r="D352" s="2">
        <v>60</v>
      </c>
      <c r="E352" s="2">
        <v>100</v>
      </c>
      <c r="F352">
        <v>4</v>
      </c>
      <c r="G352">
        <v>1</v>
      </c>
      <c r="H352">
        <f t="shared" si="1"/>
        <v>3</v>
      </c>
      <c r="I352" s="1">
        <v>44932</v>
      </c>
      <c r="J352" t="s">
        <v>37</v>
      </c>
    </row>
    <row r="353" spans="1:10" x14ac:dyDescent="0.25">
      <c r="A353" t="s">
        <v>22</v>
      </c>
      <c r="B353" t="s">
        <v>24</v>
      </c>
      <c r="C353" t="s">
        <v>68</v>
      </c>
      <c r="D353" s="2">
        <v>50</v>
      </c>
      <c r="E353" s="2">
        <v>70</v>
      </c>
      <c r="F353">
        <v>4</v>
      </c>
      <c r="G353">
        <v>2</v>
      </c>
      <c r="H353">
        <f t="shared" si="1"/>
        <v>2</v>
      </c>
      <c r="I353" s="1">
        <v>44932</v>
      </c>
      <c r="J353" t="s">
        <v>37</v>
      </c>
    </row>
    <row r="354" spans="1:10" x14ac:dyDescent="0.25">
      <c r="A354" t="s">
        <v>25</v>
      </c>
      <c r="B354" t="s">
        <v>24</v>
      </c>
      <c r="C354" t="s">
        <v>69</v>
      </c>
      <c r="D354" s="2">
        <v>45</v>
      </c>
      <c r="E354" s="2">
        <v>65</v>
      </c>
      <c r="F354">
        <v>4</v>
      </c>
      <c r="G354">
        <v>2</v>
      </c>
      <c r="H354">
        <f t="shared" si="1"/>
        <v>2</v>
      </c>
      <c r="I354" s="1">
        <v>44932</v>
      </c>
      <c r="J354" t="s">
        <v>37</v>
      </c>
    </row>
    <row r="355" spans="1:10" x14ac:dyDescent="0.25">
      <c r="A355" t="s">
        <v>26</v>
      </c>
      <c r="B355" t="s">
        <v>24</v>
      </c>
      <c r="C355" t="s">
        <v>70</v>
      </c>
      <c r="D355" s="2">
        <v>50</v>
      </c>
      <c r="E355" s="2">
        <v>70</v>
      </c>
      <c r="F355">
        <v>0</v>
      </c>
      <c r="G355">
        <v>0</v>
      </c>
      <c r="H355">
        <f t="shared" si="1"/>
        <v>0</v>
      </c>
      <c r="I355" s="1">
        <v>44932</v>
      </c>
      <c r="J355" t="s">
        <v>37</v>
      </c>
    </row>
    <row r="356" spans="1:10" x14ac:dyDescent="0.25">
      <c r="A356" t="s">
        <v>27</v>
      </c>
      <c r="B356" t="s">
        <v>24</v>
      </c>
      <c r="C356" t="s">
        <v>71</v>
      </c>
      <c r="D356" s="2">
        <v>10</v>
      </c>
      <c r="E356" s="2">
        <v>15</v>
      </c>
      <c r="F356">
        <v>10</v>
      </c>
      <c r="G356">
        <v>8</v>
      </c>
      <c r="H356">
        <f t="shared" si="1"/>
        <v>2</v>
      </c>
      <c r="I356" s="1">
        <v>44932</v>
      </c>
      <c r="J356" t="s">
        <v>37</v>
      </c>
    </row>
    <row r="357" spans="1:10" x14ac:dyDescent="0.25">
      <c r="A357" t="s">
        <v>28</v>
      </c>
      <c r="B357" t="s">
        <v>24</v>
      </c>
      <c r="C357" t="s">
        <v>72</v>
      </c>
      <c r="D357" s="2">
        <v>20</v>
      </c>
      <c r="E357" s="2">
        <v>25</v>
      </c>
      <c r="F357">
        <v>7</v>
      </c>
      <c r="G357">
        <v>5</v>
      </c>
      <c r="H357">
        <f t="shared" si="1"/>
        <v>2</v>
      </c>
      <c r="I357" s="1">
        <v>44932</v>
      </c>
      <c r="J357" t="s">
        <v>37</v>
      </c>
    </row>
    <row r="358" spans="1:10" x14ac:dyDescent="0.25">
      <c r="A358" t="s">
        <v>29</v>
      </c>
      <c r="B358" t="s">
        <v>30</v>
      </c>
      <c r="C358" t="s">
        <v>73</v>
      </c>
      <c r="D358" s="2">
        <v>25</v>
      </c>
      <c r="E358" s="2">
        <v>30</v>
      </c>
      <c r="F358">
        <v>6</v>
      </c>
      <c r="G358">
        <v>0</v>
      </c>
      <c r="H358">
        <f t="shared" si="1"/>
        <v>6</v>
      </c>
      <c r="I358" s="1">
        <v>44932</v>
      </c>
      <c r="J358" t="s">
        <v>37</v>
      </c>
    </row>
    <row r="359" spans="1:10" x14ac:dyDescent="0.25">
      <c r="A359" t="s">
        <v>31</v>
      </c>
      <c r="B359" t="s">
        <v>30</v>
      </c>
      <c r="C359" t="s">
        <v>74</v>
      </c>
      <c r="D359" s="2">
        <v>25</v>
      </c>
      <c r="E359" s="2">
        <v>30</v>
      </c>
      <c r="F359">
        <v>4</v>
      </c>
      <c r="G359">
        <v>4</v>
      </c>
      <c r="H359">
        <f t="shared" si="1"/>
        <v>0</v>
      </c>
      <c r="I359" s="1">
        <v>44932</v>
      </c>
      <c r="J359" t="s">
        <v>37</v>
      </c>
    </row>
    <row r="360" spans="1:10" x14ac:dyDescent="0.25">
      <c r="A360" t="s">
        <v>32</v>
      </c>
      <c r="B360" t="s">
        <v>30</v>
      </c>
      <c r="C360" t="s">
        <v>75</v>
      </c>
      <c r="D360" s="2">
        <v>25</v>
      </c>
      <c r="E360" s="2">
        <v>30</v>
      </c>
      <c r="F360">
        <v>5</v>
      </c>
      <c r="G360">
        <v>2</v>
      </c>
      <c r="H360">
        <f t="shared" si="1"/>
        <v>3</v>
      </c>
      <c r="I360" s="1">
        <v>44932</v>
      </c>
      <c r="J360" t="s">
        <v>37</v>
      </c>
    </row>
    <row r="361" spans="1:10" x14ac:dyDescent="0.25">
      <c r="A361" t="s">
        <v>33</v>
      </c>
      <c r="B361" t="s">
        <v>30</v>
      </c>
      <c r="C361" t="s">
        <v>76</v>
      </c>
      <c r="D361" s="2">
        <v>30</v>
      </c>
      <c r="E361" s="2">
        <v>35</v>
      </c>
      <c r="F361">
        <v>8</v>
      </c>
      <c r="G361">
        <v>2</v>
      </c>
      <c r="H361">
        <f t="shared" si="1"/>
        <v>6</v>
      </c>
      <c r="I361" s="1">
        <v>44932</v>
      </c>
      <c r="J361" t="s">
        <v>37</v>
      </c>
    </row>
    <row r="362" spans="1:10" x14ac:dyDescent="0.25">
      <c r="A362" t="s">
        <v>2</v>
      </c>
      <c r="B362" t="s">
        <v>3</v>
      </c>
      <c r="C362" t="s">
        <v>48</v>
      </c>
      <c r="D362" s="2">
        <v>100</v>
      </c>
      <c r="E362" s="2">
        <v>200</v>
      </c>
      <c r="F362">
        <v>3</v>
      </c>
      <c r="G362">
        <v>2</v>
      </c>
      <c r="H362">
        <f t="shared" si="1"/>
        <v>1</v>
      </c>
      <c r="I362" s="1">
        <v>44933</v>
      </c>
      <c r="J362" t="s">
        <v>38</v>
      </c>
    </row>
    <row r="363" spans="1:10" x14ac:dyDescent="0.25">
      <c r="A363" t="s">
        <v>7</v>
      </c>
      <c r="B363" t="s">
        <v>3</v>
      </c>
      <c r="C363" t="s">
        <v>77</v>
      </c>
      <c r="D363" s="2">
        <v>200</v>
      </c>
      <c r="E363" s="2">
        <v>300</v>
      </c>
      <c r="F363">
        <v>2</v>
      </c>
      <c r="G363">
        <v>1</v>
      </c>
      <c r="H363">
        <f t="shared" si="1"/>
        <v>1</v>
      </c>
      <c r="I363" s="1">
        <v>44933</v>
      </c>
      <c r="J363" t="s">
        <v>38</v>
      </c>
    </row>
    <row r="364" spans="1:10" x14ac:dyDescent="0.25">
      <c r="A364" t="s">
        <v>23</v>
      </c>
      <c r="B364" t="s">
        <v>3</v>
      </c>
      <c r="C364" t="s">
        <v>52</v>
      </c>
      <c r="D364" s="2">
        <v>150</v>
      </c>
      <c r="E364" s="2">
        <v>250</v>
      </c>
      <c r="F364">
        <v>2</v>
      </c>
      <c r="G364">
        <v>1</v>
      </c>
      <c r="H364">
        <f t="shared" si="1"/>
        <v>1</v>
      </c>
      <c r="I364" s="1">
        <v>44933</v>
      </c>
      <c r="J364" t="s">
        <v>38</v>
      </c>
    </row>
    <row r="365" spans="1:10" x14ac:dyDescent="0.25">
      <c r="A365" t="s">
        <v>9</v>
      </c>
      <c r="B365" t="s">
        <v>3</v>
      </c>
      <c r="C365" t="s">
        <v>53</v>
      </c>
      <c r="D365" s="2">
        <v>100</v>
      </c>
      <c r="E365" s="2">
        <v>200</v>
      </c>
      <c r="F365">
        <v>3</v>
      </c>
      <c r="G365">
        <v>2</v>
      </c>
      <c r="H365">
        <f t="shared" si="1"/>
        <v>1</v>
      </c>
      <c r="I365" s="1">
        <v>44933</v>
      </c>
      <c r="J365" t="s">
        <v>38</v>
      </c>
    </row>
    <row r="366" spans="1:10" x14ac:dyDescent="0.25">
      <c r="A366" t="s">
        <v>2</v>
      </c>
      <c r="B366" t="s">
        <v>12</v>
      </c>
      <c r="C366" t="s">
        <v>49</v>
      </c>
      <c r="D366" s="2">
        <v>250</v>
      </c>
      <c r="E366" s="2">
        <v>350</v>
      </c>
      <c r="F366">
        <v>2</v>
      </c>
      <c r="G366">
        <v>1</v>
      </c>
      <c r="H366">
        <f t="shared" si="1"/>
        <v>1</v>
      </c>
      <c r="I366" s="1">
        <v>44933</v>
      </c>
      <c r="J366" t="s">
        <v>38</v>
      </c>
    </row>
    <row r="367" spans="1:10" x14ac:dyDescent="0.25">
      <c r="A367" t="s">
        <v>7</v>
      </c>
      <c r="B367" t="s">
        <v>12</v>
      </c>
      <c r="C367" t="s">
        <v>54</v>
      </c>
      <c r="D367" s="2">
        <v>300</v>
      </c>
      <c r="E367" s="2">
        <v>400</v>
      </c>
      <c r="F367">
        <v>0</v>
      </c>
      <c r="G367">
        <v>0</v>
      </c>
      <c r="H367">
        <f t="shared" si="1"/>
        <v>0</v>
      </c>
      <c r="I367" s="1">
        <v>44933</v>
      </c>
      <c r="J367" t="s">
        <v>38</v>
      </c>
    </row>
    <row r="368" spans="1:10" x14ac:dyDescent="0.25">
      <c r="A368" t="s">
        <v>8</v>
      </c>
      <c r="B368" t="s">
        <v>12</v>
      </c>
      <c r="C368" t="s">
        <v>55</v>
      </c>
      <c r="D368" s="2">
        <v>250</v>
      </c>
      <c r="E368" s="2">
        <v>350</v>
      </c>
      <c r="F368">
        <v>1</v>
      </c>
      <c r="G368">
        <v>0</v>
      </c>
      <c r="H368">
        <f t="shared" si="1"/>
        <v>1</v>
      </c>
      <c r="I368" s="1">
        <v>44933</v>
      </c>
      <c r="J368" t="s">
        <v>38</v>
      </c>
    </row>
    <row r="369" spans="1:10" x14ac:dyDescent="0.25">
      <c r="A369" t="s">
        <v>9</v>
      </c>
      <c r="B369" t="s">
        <v>12</v>
      </c>
      <c r="C369" t="s">
        <v>56</v>
      </c>
      <c r="D369" s="2">
        <v>250</v>
      </c>
      <c r="E369" s="2">
        <v>350</v>
      </c>
      <c r="F369">
        <v>5</v>
      </c>
      <c r="G369">
        <v>4</v>
      </c>
      <c r="H369">
        <f t="shared" si="1"/>
        <v>1</v>
      </c>
      <c r="I369" s="1">
        <v>44933</v>
      </c>
      <c r="J369" t="s">
        <v>38</v>
      </c>
    </row>
    <row r="370" spans="1:10" x14ac:dyDescent="0.25">
      <c r="A370" t="s">
        <v>13</v>
      </c>
      <c r="B370" t="s">
        <v>12</v>
      </c>
      <c r="C370" t="s">
        <v>57</v>
      </c>
      <c r="D370" s="2">
        <v>300</v>
      </c>
      <c r="E370" s="2">
        <v>450</v>
      </c>
      <c r="F370">
        <v>2</v>
      </c>
      <c r="G370">
        <v>0</v>
      </c>
      <c r="H370">
        <f t="shared" si="1"/>
        <v>2</v>
      </c>
      <c r="I370" s="1">
        <v>44933</v>
      </c>
      <c r="J370" t="s">
        <v>38</v>
      </c>
    </row>
    <row r="371" spans="1:10" x14ac:dyDescent="0.25">
      <c r="A371" t="s">
        <v>14</v>
      </c>
      <c r="B371" t="s">
        <v>16</v>
      </c>
      <c r="C371" t="s">
        <v>50</v>
      </c>
      <c r="D371" s="2">
        <v>320</v>
      </c>
      <c r="E371" s="2">
        <v>400</v>
      </c>
      <c r="F371">
        <v>0</v>
      </c>
      <c r="G371">
        <v>0</v>
      </c>
      <c r="H371">
        <f t="shared" si="1"/>
        <v>0</v>
      </c>
      <c r="I371" s="1">
        <v>44933</v>
      </c>
      <c r="J371" t="s">
        <v>38</v>
      </c>
    </row>
    <row r="372" spans="1:10" x14ac:dyDescent="0.25">
      <c r="A372" t="s">
        <v>15</v>
      </c>
      <c r="B372" t="s">
        <v>16</v>
      </c>
      <c r="C372" t="s">
        <v>58</v>
      </c>
      <c r="D372" s="2">
        <v>100</v>
      </c>
      <c r="E372" s="2">
        <v>150</v>
      </c>
      <c r="F372">
        <v>5</v>
      </c>
      <c r="G372">
        <v>5</v>
      </c>
      <c r="H372">
        <f t="shared" si="1"/>
        <v>0</v>
      </c>
      <c r="I372" s="1">
        <v>44933</v>
      </c>
      <c r="J372" t="s">
        <v>38</v>
      </c>
    </row>
    <row r="373" spans="1:10" x14ac:dyDescent="0.25">
      <c r="A373" t="s">
        <v>2</v>
      </c>
      <c r="B373" t="s">
        <v>21</v>
      </c>
      <c r="C373" t="s">
        <v>51</v>
      </c>
      <c r="D373" s="2">
        <v>25</v>
      </c>
      <c r="E373" s="2">
        <v>40</v>
      </c>
      <c r="F373">
        <v>9</v>
      </c>
      <c r="G373">
        <v>7</v>
      </c>
      <c r="H373">
        <f t="shared" si="1"/>
        <v>2</v>
      </c>
      <c r="I373" s="1">
        <v>44933</v>
      </c>
      <c r="J373" t="s">
        <v>38</v>
      </c>
    </row>
    <row r="374" spans="1:10" x14ac:dyDescent="0.25">
      <c r="A374" t="s">
        <v>7</v>
      </c>
      <c r="B374" t="s">
        <v>21</v>
      </c>
      <c r="C374" t="s">
        <v>59</v>
      </c>
      <c r="D374" s="2">
        <v>30</v>
      </c>
      <c r="E374" s="2">
        <v>50</v>
      </c>
      <c r="F374">
        <v>16</v>
      </c>
      <c r="G374">
        <v>4</v>
      </c>
      <c r="H374">
        <f t="shared" si="1"/>
        <v>12</v>
      </c>
      <c r="I374" s="1">
        <v>44933</v>
      </c>
      <c r="J374" t="s">
        <v>38</v>
      </c>
    </row>
    <row r="375" spans="1:10" x14ac:dyDescent="0.25">
      <c r="A375" t="s">
        <v>9</v>
      </c>
      <c r="B375" t="s">
        <v>21</v>
      </c>
      <c r="C375" t="s">
        <v>60</v>
      </c>
      <c r="D375" s="2">
        <v>25</v>
      </c>
      <c r="E375" s="2">
        <v>40</v>
      </c>
      <c r="F375">
        <v>16</v>
      </c>
      <c r="G375">
        <v>6</v>
      </c>
      <c r="H375">
        <f t="shared" si="1"/>
        <v>10</v>
      </c>
      <c r="I375" s="1">
        <v>44933</v>
      </c>
      <c r="J375" t="s">
        <v>38</v>
      </c>
    </row>
    <row r="376" spans="1:10" x14ac:dyDescent="0.25">
      <c r="A376" t="s">
        <v>23</v>
      </c>
      <c r="B376" t="s">
        <v>21</v>
      </c>
      <c r="C376" t="s">
        <v>61</v>
      </c>
      <c r="D376" s="2">
        <v>25</v>
      </c>
      <c r="E376" s="2">
        <v>40</v>
      </c>
      <c r="F376">
        <v>21</v>
      </c>
      <c r="G376">
        <v>9</v>
      </c>
      <c r="H376">
        <f t="shared" si="1"/>
        <v>12</v>
      </c>
      <c r="I376" s="1">
        <v>44933</v>
      </c>
      <c r="J376" t="s">
        <v>38</v>
      </c>
    </row>
    <row r="377" spans="1:10" x14ac:dyDescent="0.25">
      <c r="A377" t="s">
        <v>13</v>
      </c>
      <c r="B377" t="s">
        <v>21</v>
      </c>
      <c r="C377" t="s">
        <v>62</v>
      </c>
      <c r="D377" s="2">
        <v>30</v>
      </c>
      <c r="E377" s="2">
        <v>55</v>
      </c>
      <c r="F377">
        <v>16</v>
      </c>
      <c r="G377">
        <v>2</v>
      </c>
      <c r="H377">
        <f t="shared" si="1"/>
        <v>14</v>
      </c>
      <c r="I377" s="1">
        <v>44933</v>
      </c>
      <c r="J377" t="s">
        <v>38</v>
      </c>
    </row>
    <row r="378" spans="1:10" x14ac:dyDescent="0.25">
      <c r="A378" t="s">
        <v>17</v>
      </c>
      <c r="B378" t="s">
        <v>21</v>
      </c>
      <c r="C378" t="s">
        <v>63</v>
      </c>
      <c r="D378" s="2">
        <v>40</v>
      </c>
      <c r="E378" s="2">
        <v>65</v>
      </c>
      <c r="F378">
        <v>8</v>
      </c>
      <c r="G378">
        <v>5</v>
      </c>
      <c r="H378">
        <f t="shared" si="1"/>
        <v>3</v>
      </c>
      <c r="I378" s="1">
        <v>44933</v>
      </c>
      <c r="J378" t="s">
        <v>38</v>
      </c>
    </row>
    <row r="379" spans="1:10" x14ac:dyDescent="0.25">
      <c r="A379" t="s">
        <v>34</v>
      </c>
      <c r="B379" t="s">
        <v>21</v>
      </c>
      <c r="C379" t="s">
        <v>64</v>
      </c>
      <c r="D379" s="2">
        <v>50</v>
      </c>
      <c r="E379" s="2">
        <v>70</v>
      </c>
      <c r="F379">
        <v>0</v>
      </c>
      <c r="G379">
        <v>0</v>
      </c>
      <c r="H379">
        <f t="shared" si="1"/>
        <v>0</v>
      </c>
      <c r="I379" s="1">
        <v>44933</v>
      </c>
      <c r="J379" t="s">
        <v>38</v>
      </c>
    </row>
    <row r="380" spans="1:10" x14ac:dyDescent="0.25">
      <c r="A380" t="s">
        <v>18</v>
      </c>
      <c r="B380" t="s">
        <v>21</v>
      </c>
      <c r="C380" t="s">
        <v>65</v>
      </c>
      <c r="D380" s="2">
        <v>20</v>
      </c>
      <c r="E380" s="2">
        <v>30</v>
      </c>
      <c r="F380">
        <v>20</v>
      </c>
      <c r="G380">
        <v>20</v>
      </c>
      <c r="H380">
        <f t="shared" si="1"/>
        <v>0</v>
      </c>
      <c r="I380" s="1">
        <v>44933</v>
      </c>
      <c r="J380" t="s">
        <v>38</v>
      </c>
    </row>
    <row r="381" spans="1:10" x14ac:dyDescent="0.25">
      <c r="A381" t="s">
        <v>19</v>
      </c>
      <c r="B381" t="s">
        <v>21</v>
      </c>
      <c r="C381" t="s">
        <v>66</v>
      </c>
      <c r="D381" s="2">
        <v>10</v>
      </c>
      <c r="E381" s="2">
        <v>20</v>
      </c>
      <c r="F381">
        <v>11</v>
      </c>
      <c r="G381">
        <v>11</v>
      </c>
      <c r="H381">
        <f t="shared" si="1"/>
        <v>0</v>
      </c>
      <c r="I381" s="1">
        <v>44933</v>
      </c>
      <c r="J381" t="s">
        <v>38</v>
      </c>
    </row>
    <row r="382" spans="1:10" x14ac:dyDescent="0.25">
      <c r="A382" t="s">
        <v>20</v>
      </c>
      <c r="B382" t="s">
        <v>21</v>
      </c>
      <c r="C382" t="s">
        <v>67</v>
      </c>
      <c r="D382" s="2">
        <v>60</v>
      </c>
      <c r="E382" s="2">
        <v>100</v>
      </c>
      <c r="F382">
        <v>6</v>
      </c>
      <c r="G382">
        <v>6</v>
      </c>
      <c r="H382">
        <f t="shared" si="1"/>
        <v>0</v>
      </c>
      <c r="I382" s="1">
        <v>44933</v>
      </c>
      <c r="J382" t="s">
        <v>38</v>
      </c>
    </row>
    <row r="383" spans="1:10" x14ac:dyDescent="0.25">
      <c r="A383" t="s">
        <v>22</v>
      </c>
      <c r="B383" t="s">
        <v>24</v>
      </c>
      <c r="C383" t="s">
        <v>68</v>
      </c>
      <c r="D383" s="2">
        <v>50</v>
      </c>
      <c r="E383" s="2">
        <v>70</v>
      </c>
      <c r="F383">
        <v>6</v>
      </c>
      <c r="G383">
        <v>5</v>
      </c>
      <c r="H383">
        <f t="shared" si="1"/>
        <v>1</v>
      </c>
      <c r="I383" s="1">
        <v>44933</v>
      </c>
      <c r="J383" t="s">
        <v>38</v>
      </c>
    </row>
    <row r="384" spans="1:10" x14ac:dyDescent="0.25">
      <c r="A384" t="s">
        <v>25</v>
      </c>
      <c r="B384" t="s">
        <v>24</v>
      </c>
      <c r="C384" t="s">
        <v>69</v>
      </c>
      <c r="D384" s="2">
        <v>45</v>
      </c>
      <c r="E384" s="2">
        <v>65</v>
      </c>
      <c r="F384">
        <v>2</v>
      </c>
      <c r="G384">
        <v>1</v>
      </c>
      <c r="H384">
        <f t="shared" si="1"/>
        <v>1</v>
      </c>
      <c r="I384" s="1">
        <v>44933</v>
      </c>
      <c r="J384" t="s">
        <v>38</v>
      </c>
    </row>
    <row r="385" spans="1:10" x14ac:dyDescent="0.25">
      <c r="A385" t="s">
        <v>26</v>
      </c>
      <c r="B385" t="s">
        <v>24</v>
      </c>
      <c r="C385" t="s">
        <v>70</v>
      </c>
      <c r="D385" s="2">
        <v>50</v>
      </c>
      <c r="E385" s="2">
        <v>70</v>
      </c>
      <c r="F385">
        <v>0</v>
      </c>
      <c r="G385">
        <v>0</v>
      </c>
      <c r="H385">
        <f t="shared" si="1"/>
        <v>0</v>
      </c>
      <c r="I385" s="1">
        <v>44933</v>
      </c>
      <c r="J385" t="s">
        <v>38</v>
      </c>
    </row>
    <row r="386" spans="1:10" x14ac:dyDescent="0.25">
      <c r="A386" t="s">
        <v>27</v>
      </c>
      <c r="B386" t="s">
        <v>24</v>
      </c>
      <c r="C386" t="s">
        <v>71</v>
      </c>
      <c r="D386" s="2">
        <v>10</v>
      </c>
      <c r="E386" s="2">
        <v>15</v>
      </c>
      <c r="F386">
        <v>12</v>
      </c>
      <c r="G386">
        <v>10</v>
      </c>
      <c r="H386">
        <f t="shared" si="1"/>
        <v>2</v>
      </c>
      <c r="I386" s="1">
        <v>44933</v>
      </c>
      <c r="J386" t="s">
        <v>38</v>
      </c>
    </row>
    <row r="387" spans="1:10" x14ac:dyDescent="0.25">
      <c r="A387" t="s">
        <v>28</v>
      </c>
      <c r="B387" t="s">
        <v>24</v>
      </c>
      <c r="C387" t="s">
        <v>72</v>
      </c>
      <c r="D387" s="2">
        <v>20</v>
      </c>
      <c r="E387" s="2">
        <v>25</v>
      </c>
      <c r="F387">
        <v>5</v>
      </c>
      <c r="G387">
        <v>4</v>
      </c>
      <c r="H387">
        <f t="shared" si="1"/>
        <v>1</v>
      </c>
      <c r="I387" s="1">
        <v>44933</v>
      </c>
      <c r="J387" t="s">
        <v>38</v>
      </c>
    </row>
    <row r="388" spans="1:10" x14ac:dyDescent="0.25">
      <c r="A388" t="s">
        <v>29</v>
      </c>
      <c r="B388" t="s">
        <v>30</v>
      </c>
      <c r="C388" t="s">
        <v>73</v>
      </c>
      <c r="D388" s="2">
        <v>25</v>
      </c>
      <c r="E388" s="2">
        <v>30</v>
      </c>
      <c r="F388">
        <v>0</v>
      </c>
      <c r="G388">
        <v>0</v>
      </c>
      <c r="H388">
        <f t="shared" si="1"/>
        <v>0</v>
      </c>
      <c r="I388" s="1">
        <v>44933</v>
      </c>
      <c r="J388" t="s">
        <v>38</v>
      </c>
    </row>
    <row r="389" spans="1:10" x14ac:dyDescent="0.25">
      <c r="A389" t="s">
        <v>31</v>
      </c>
      <c r="B389" t="s">
        <v>30</v>
      </c>
      <c r="C389" t="s">
        <v>74</v>
      </c>
      <c r="D389" s="2">
        <v>25</v>
      </c>
      <c r="E389" s="2">
        <v>30</v>
      </c>
      <c r="F389">
        <v>4</v>
      </c>
      <c r="G389">
        <v>2</v>
      </c>
      <c r="H389">
        <f t="shared" si="1"/>
        <v>2</v>
      </c>
      <c r="I389" s="1">
        <v>44933</v>
      </c>
      <c r="J389" t="s">
        <v>38</v>
      </c>
    </row>
    <row r="390" spans="1:10" x14ac:dyDescent="0.25">
      <c r="A390" t="s">
        <v>32</v>
      </c>
      <c r="B390" t="s">
        <v>30</v>
      </c>
      <c r="C390" t="s">
        <v>75</v>
      </c>
      <c r="D390" s="2">
        <v>25</v>
      </c>
      <c r="E390" s="2">
        <v>30</v>
      </c>
      <c r="F390">
        <v>2</v>
      </c>
      <c r="G390">
        <v>2</v>
      </c>
      <c r="H390">
        <f t="shared" si="1"/>
        <v>0</v>
      </c>
      <c r="I390" s="1">
        <v>44933</v>
      </c>
      <c r="J390" t="s">
        <v>38</v>
      </c>
    </row>
    <row r="391" spans="1:10" x14ac:dyDescent="0.25">
      <c r="A391" t="s">
        <v>33</v>
      </c>
      <c r="B391" t="s">
        <v>30</v>
      </c>
      <c r="C391" t="s">
        <v>76</v>
      </c>
      <c r="D391" s="2">
        <v>30</v>
      </c>
      <c r="E391" s="2">
        <v>35</v>
      </c>
      <c r="F391">
        <v>2</v>
      </c>
      <c r="G391">
        <v>1</v>
      </c>
      <c r="H391">
        <f t="shared" si="1"/>
        <v>1</v>
      </c>
      <c r="I391" s="1">
        <v>44933</v>
      </c>
      <c r="J391" t="s">
        <v>38</v>
      </c>
    </row>
    <row r="392" spans="1:10" x14ac:dyDescent="0.25">
      <c r="A392" t="s">
        <v>2</v>
      </c>
      <c r="B392" t="s">
        <v>3</v>
      </c>
      <c r="C392" t="s">
        <v>48</v>
      </c>
      <c r="D392" s="2">
        <v>100</v>
      </c>
      <c r="E392" s="2">
        <v>200</v>
      </c>
      <c r="F392">
        <v>2</v>
      </c>
      <c r="G392">
        <v>1</v>
      </c>
      <c r="H392">
        <f t="shared" si="1"/>
        <v>1</v>
      </c>
      <c r="I392" s="1">
        <v>44934</v>
      </c>
      <c r="J392" t="s">
        <v>6</v>
      </c>
    </row>
    <row r="393" spans="1:10" x14ac:dyDescent="0.25">
      <c r="A393" t="s">
        <v>7</v>
      </c>
      <c r="B393" t="s">
        <v>3</v>
      </c>
      <c r="C393" t="s">
        <v>77</v>
      </c>
      <c r="D393" s="2">
        <v>200</v>
      </c>
      <c r="E393" s="2">
        <v>300</v>
      </c>
      <c r="F393">
        <v>3</v>
      </c>
      <c r="G393">
        <v>2</v>
      </c>
      <c r="H393">
        <f t="shared" si="1"/>
        <v>1</v>
      </c>
      <c r="I393" s="1">
        <v>44934</v>
      </c>
      <c r="J393" t="s">
        <v>6</v>
      </c>
    </row>
    <row r="394" spans="1:10" x14ac:dyDescent="0.25">
      <c r="A394" t="s">
        <v>23</v>
      </c>
      <c r="B394" t="s">
        <v>3</v>
      </c>
      <c r="C394" t="s">
        <v>52</v>
      </c>
      <c r="D394" s="2">
        <v>150</v>
      </c>
      <c r="E394" s="2">
        <v>250</v>
      </c>
      <c r="F394">
        <v>3</v>
      </c>
      <c r="G394">
        <v>1</v>
      </c>
      <c r="H394">
        <f t="shared" si="1"/>
        <v>2</v>
      </c>
      <c r="I394" s="1">
        <v>44934</v>
      </c>
      <c r="J394" t="s">
        <v>6</v>
      </c>
    </row>
    <row r="395" spans="1:10" x14ac:dyDescent="0.25">
      <c r="A395" t="s">
        <v>9</v>
      </c>
      <c r="B395" t="s">
        <v>3</v>
      </c>
      <c r="C395" t="s">
        <v>53</v>
      </c>
      <c r="D395" s="2">
        <v>100</v>
      </c>
      <c r="E395" s="2">
        <v>200</v>
      </c>
      <c r="F395">
        <v>3</v>
      </c>
      <c r="G395">
        <v>3</v>
      </c>
      <c r="H395">
        <f t="shared" si="1"/>
        <v>0</v>
      </c>
      <c r="I395" s="1">
        <v>44934</v>
      </c>
      <c r="J395" t="s">
        <v>6</v>
      </c>
    </row>
    <row r="396" spans="1:10" x14ac:dyDescent="0.25">
      <c r="A396" t="s">
        <v>2</v>
      </c>
      <c r="B396" t="s">
        <v>12</v>
      </c>
      <c r="C396" t="s">
        <v>49</v>
      </c>
      <c r="D396" s="2">
        <v>250</v>
      </c>
      <c r="E396" s="2">
        <v>350</v>
      </c>
      <c r="F396">
        <v>3</v>
      </c>
      <c r="G396">
        <v>2</v>
      </c>
      <c r="H396">
        <f t="shared" si="1"/>
        <v>1</v>
      </c>
      <c r="I396" s="1">
        <v>44934</v>
      </c>
      <c r="J396" t="s">
        <v>6</v>
      </c>
    </row>
    <row r="397" spans="1:10" x14ac:dyDescent="0.25">
      <c r="A397" t="s">
        <v>7</v>
      </c>
      <c r="B397" t="s">
        <v>12</v>
      </c>
      <c r="C397" t="s">
        <v>54</v>
      </c>
      <c r="D397" s="2">
        <v>300</v>
      </c>
      <c r="E397" s="2">
        <v>400</v>
      </c>
      <c r="F397">
        <v>1</v>
      </c>
      <c r="G397">
        <v>1</v>
      </c>
      <c r="H397">
        <f t="shared" si="1"/>
        <v>0</v>
      </c>
      <c r="I397" s="1">
        <v>44934</v>
      </c>
      <c r="J397" t="s">
        <v>6</v>
      </c>
    </row>
    <row r="398" spans="1:10" x14ac:dyDescent="0.25">
      <c r="A398" t="s">
        <v>8</v>
      </c>
      <c r="B398" t="s">
        <v>12</v>
      </c>
      <c r="C398" t="s">
        <v>55</v>
      </c>
      <c r="D398" s="2">
        <v>250</v>
      </c>
      <c r="E398" s="2">
        <v>350</v>
      </c>
      <c r="F398">
        <v>2</v>
      </c>
      <c r="G398">
        <v>2</v>
      </c>
      <c r="H398">
        <f t="shared" si="1"/>
        <v>0</v>
      </c>
      <c r="I398" s="1">
        <v>44934</v>
      </c>
      <c r="J398" t="s">
        <v>6</v>
      </c>
    </row>
    <row r="399" spans="1:10" x14ac:dyDescent="0.25">
      <c r="A399" t="s">
        <v>9</v>
      </c>
      <c r="B399" t="s">
        <v>12</v>
      </c>
      <c r="C399" t="s">
        <v>56</v>
      </c>
      <c r="D399" s="2">
        <v>250</v>
      </c>
      <c r="E399" s="2">
        <v>350</v>
      </c>
      <c r="F399">
        <v>5</v>
      </c>
      <c r="G399">
        <v>2</v>
      </c>
      <c r="H399">
        <f t="shared" si="1"/>
        <v>3</v>
      </c>
      <c r="I399" s="1">
        <v>44934</v>
      </c>
      <c r="J399" t="s">
        <v>6</v>
      </c>
    </row>
    <row r="400" spans="1:10" x14ac:dyDescent="0.25">
      <c r="A400" t="s">
        <v>13</v>
      </c>
      <c r="B400" t="s">
        <v>12</v>
      </c>
      <c r="C400" t="s">
        <v>57</v>
      </c>
      <c r="D400" s="2">
        <v>300</v>
      </c>
      <c r="E400" s="2">
        <v>450</v>
      </c>
      <c r="F400">
        <v>0</v>
      </c>
      <c r="G400">
        <v>0</v>
      </c>
      <c r="H400">
        <f t="shared" si="1"/>
        <v>0</v>
      </c>
      <c r="I400" s="1">
        <v>44934</v>
      </c>
      <c r="J400" t="s">
        <v>6</v>
      </c>
    </row>
    <row r="401" spans="1:10" x14ac:dyDescent="0.25">
      <c r="A401" t="s">
        <v>14</v>
      </c>
      <c r="B401" t="s">
        <v>16</v>
      </c>
      <c r="C401" t="s">
        <v>50</v>
      </c>
      <c r="D401" s="2">
        <v>320</v>
      </c>
      <c r="E401" s="2">
        <v>400</v>
      </c>
      <c r="F401">
        <v>0</v>
      </c>
      <c r="G401">
        <v>0</v>
      </c>
      <c r="H401">
        <f t="shared" si="1"/>
        <v>0</v>
      </c>
      <c r="I401" s="1">
        <v>44934</v>
      </c>
      <c r="J401" t="s">
        <v>6</v>
      </c>
    </row>
    <row r="402" spans="1:10" x14ac:dyDescent="0.25">
      <c r="A402" t="s">
        <v>15</v>
      </c>
      <c r="B402" t="s">
        <v>16</v>
      </c>
      <c r="C402" t="s">
        <v>58</v>
      </c>
      <c r="D402" s="2">
        <v>100</v>
      </c>
      <c r="E402" s="2">
        <v>150</v>
      </c>
      <c r="F402">
        <v>5</v>
      </c>
      <c r="G402">
        <v>5</v>
      </c>
      <c r="H402">
        <f t="shared" si="1"/>
        <v>0</v>
      </c>
      <c r="I402" s="1">
        <v>44934</v>
      </c>
      <c r="J402" t="s">
        <v>6</v>
      </c>
    </row>
    <row r="403" spans="1:10" x14ac:dyDescent="0.25">
      <c r="A403" t="s">
        <v>2</v>
      </c>
      <c r="B403" t="s">
        <v>21</v>
      </c>
      <c r="C403" t="s">
        <v>51</v>
      </c>
      <c r="D403" s="2">
        <v>25</v>
      </c>
      <c r="E403" s="2">
        <v>40</v>
      </c>
      <c r="F403">
        <v>19</v>
      </c>
      <c r="G403">
        <v>19</v>
      </c>
      <c r="H403">
        <f t="shared" si="1"/>
        <v>0</v>
      </c>
      <c r="I403" s="1">
        <v>44934</v>
      </c>
      <c r="J403" t="s">
        <v>6</v>
      </c>
    </row>
    <row r="404" spans="1:10" x14ac:dyDescent="0.25">
      <c r="A404" t="s">
        <v>7</v>
      </c>
      <c r="B404" t="s">
        <v>21</v>
      </c>
      <c r="C404" t="s">
        <v>59</v>
      </c>
      <c r="D404" s="2">
        <v>30</v>
      </c>
      <c r="E404" s="2">
        <v>50</v>
      </c>
      <c r="F404">
        <v>4</v>
      </c>
      <c r="G404">
        <v>4</v>
      </c>
      <c r="H404">
        <f t="shared" si="1"/>
        <v>0</v>
      </c>
      <c r="I404" s="1">
        <v>44934</v>
      </c>
      <c r="J404" t="s">
        <v>6</v>
      </c>
    </row>
    <row r="405" spans="1:10" x14ac:dyDescent="0.25">
      <c r="A405" t="s">
        <v>9</v>
      </c>
      <c r="B405" t="s">
        <v>21</v>
      </c>
      <c r="C405" t="s">
        <v>60</v>
      </c>
      <c r="D405" s="2">
        <v>25</v>
      </c>
      <c r="E405" s="2">
        <v>40</v>
      </c>
      <c r="F405">
        <v>6</v>
      </c>
      <c r="G405">
        <v>3</v>
      </c>
      <c r="H405">
        <f t="shared" si="1"/>
        <v>3</v>
      </c>
      <c r="I405" s="1">
        <v>44934</v>
      </c>
      <c r="J405" t="s">
        <v>6</v>
      </c>
    </row>
    <row r="406" spans="1:10" x14ac:dyDescent="0.25">
      <c r="A406" t="s">
        <v>23</v>
      </c>
      <c r="B406" t="s">
        <v>21</v>
      </c>
      <c r="C406" t="s">
        <v>61</v>
      </c>
      <c r="D406" s="2">
        <v>25</v>
      </c>
      <c r="E406" s="2">
        <v>40</v>
      </c>
      <c r="F406">
        <v>9</v>
      </c>
      <c r="G406">
        <v>5</v>
      </c>
      <c r="H406">
        <f t="shared" si="1"/>
        <v>4</v>
      </c>
      <c r="I406" s="1">
        <v>44934</v>
      </c>
      <c r="J406" t="s">
        <v>6</v>
      </c>
    </row>
    <row r="407" spans="1:10" x14ac:dyDescent="0.25">
      <c r="A407" t="s">
        <v>13</v>
      </c>
      <c r="B407" t="s">
        <v>21</v>
      </c>
      <c r="C407" t="s">
        <v>62</v>
      </c>
      <c r="D407" s="2">
        <v>30</v>
      </c>
      <c r="E407" s="2">
        <v>55</v>
      </c>
      <c r="F407">
        <v>2</v>
      </c>
      <c r="G407">
        <v>2</v>
      </c>
      <c r="H407">
        <f t="shared" si="1"/>
        <v>0</v>
      </c>
      <c r="I407" s="1">
        <v>44934</v>
      </c>
      <c r="J407" t="s">
        <v>6</v>
      </c>
    </row>
    <row r="408" spans="1:10" x14ac:dyDescent="0.25">
      <c r="A408" t="s">
        <v>17</v>
      </c>
      <c r="B408" t="s">
        <v>21</v>
      </c>
      <c r="C408" t="s">
        <v>63</v>
      </c>
      <c r="D408" s="2">
        <v>40</v>
      </c>
      <c r="E408" s="2">
        <v>65</v>
      </c>
      <c r="F408">
        <v>15</v>
      </c>
      <c r="G408">
        <v>14</v>
      </c>
      <c r="H408">
        <f t="shared" si="1"/>
        <v>1</v>
      </c>
      <c r="I408" s="1">
        <v>44934</v>
      </c>
      <c r="J408" t="s">
        <v>6</v>
      </c>
    </row>
    <row r="409" spans="1:10" x14ac:dyDescent="0.25">
      <c r="A409" t="s">
        <v>34</v>
      </c>
      <c r="B409" t="s">
        <v>21</v>
      </c>
      <c r="C409" t="s">
        <v>64</v>
      </c>
      <c r="D409" s="2">
        <v>50</v>
      </c>
      <c r="E409" s="2">
        <v>70</v>
      </c>
      <c r="F409">
        <v>0</v>
      </c>
      <c r="G409">
        <v>0</v>
      </c>
      <c r="H409">
        <f t="shared" si="1"/>
        <v>0</v>
      </c>
      <c r="I409" s="1">
        <v>44934</v>
      </c>
      <c r="J409" t="s">
        <v>6</v>
      </c>
    </row>
    <row r="410" spans="1:10" x14ac:dyDescent="0.25">
      <c r="A410" t="s">
        <v>18</v>
      </c>
      <c r="B410" t="s">
        <v>21</v>
      </c>
      <c r="C410" t="s">
        <v>65</v>
      </c>
      <c r="D410" s="2">
        <v>20</v>
      </c>
      <c r="E410" s="2">
        <v>30</v>
      </c>
      <c r="F410">
        <v>20</v>
      </c>
      <c r="G410">
        <v>15</v>
      </c>
      <c r="H410">
        <f t="shared" si="1"/>
        <v>5</v>
      </c>
      <c r="I410" s="1">
        <v>44934</v>
      </c>
      <c r="J410" t="s">
        <v>6</v>
      </c>
    </row>
    <row r="411" spans="1:10" x14ac:dyDescent="0.25">
      <c r="A411" t="s">
        <v>19</v>
      </c>
      <c r="B411" t="s">
        <v>21</v>
      </c>
      <c r="C411" t="s">
        <v>66</v>
      </c>
      <c r="D411" s="2">
        <v>10</v>
      </c>
      <c r="E411" s="2">
        <v>20</v>
      </c>
      <c r="F411">
        <v>11</v>
      </c>
      <c r="G411">
        <v>8</v>
      </c>
      <c r="H411">
        <f t="shared" si="1"/>
        <v>3</v>
      </c>
      <c r="I411" s="1">
        <v>44934</v>
      </c>
      <c r="J411" t="s">
        <v>6</v>
      </c>
    </row>
    <row r="412" spans="1:10" x14ac:dyDescent="0.25">
      <c r="A412" t="s">
        <v>20</v>
      </c>
      <c r="B412" t="s">
        <v>21</v>
      </c>
      <c r="C412" t="s">
        <v>67</v>
      </c>
      <c r="D412" s="2">
        <v>60</v>
      </c>
      <c r="E412" s="2">
        <v>100</v>
      </c>
      <c r="F412">
        <v>6</v>
      </c>
      <c r="G412">
        <v>6</v>
      </c>
      <c r="H412">
        <f t="shared" si="1"/>
        <v>0</v>
      </c>
      <c r="I412" s="1">
        <v>44934</v>
      </c>
      <c r="J412" t="s">
        <v>6</v>
      </c>
    </row>
    <row r="413" spans="1:10" x14ac:dyDescent="0.25">
      <c r="A413" t="s">
        <v>22</v>
      </c>
      <c r="B413" t="s">
        <v>24</v>
      </c>
      <c r="C413" t="s">
        <v>68</v>
      </c>
      <c r="D413" s="2">
        <v>50</v>
      </c>
      <c r="E413" s="2">
        <v>70</v>
      </c>
      <c r="F413">
        <v>5</v>
      </c>
      <c r="G413">
        <v>4</v>
      </c>
      <c r="H413">
        <f t="shared" si="1"/>
        <v>1</v>
      </c>
      <c r="I413" s="1">
        <v>44934</v>
      </c>
      <c r="J413" t="s">
        <v>6</v>
      </c>
    </row>
    <row r="414" spans="1:10" x14ac:dyDescent="0.25">
      <c r="A414" t="s">
        <v>25</v>
      </c>
      <c r="B414" t="s">
        <v>24</v>
      </c>
      <c r="C414" t="s">
        <v>69</v>
      </c>
      <c r="D414" s="2">
        <v>45</v>
      </c>
      <c r="E414" s="2">
        <v>65</v>
      </c>
      <c r="F414">
        <v>1</v>
      </c>
      <c r="G414">
        <v>1</v>
      </c>
      <c r="H414">
        <f t="shared" si="1"/>
        <v>0</v>
      </c>
      <c r="I414" s="1">
        <v>44934</v>
      </c>
      <c r="J414" t="s">
        <v>6</v>
      </c>
    </row>
    <row r="415" spans="1:10" x14ac:dyDescent="0.25">
      <c r="A415" t="s">
        <v>26</v>
      </c>
      <c r="B415" t="s">
        <v>24</v>
      </c>
      <c r="C415" t="s">
        <v>70</v>
      </c>
      <c r="D415" s="2">
        <v>50</v>
      </c>
      <c r="E415" s="2">
        <v>70</v>
      </c>
      <c r="F415">
        <v>0</v>
      </c>
      <c r="G415">
        <v>0</v>
      </c>
      <c r="H415">
        <f t="shared" si="1"/>
        <v>0</v>
      </c>
      <c r="I415" s="1">
        <v>44934</v>
      </c>
      <c r="J415" t="s">
        <v>6</v>
      </c>
    </row>
    <row r="416" spans="1:10" x14ac:dyDescent="0.25">
      <c r="A416" t="s">
        <v>27</v>
      </c>
      <c r="B416" t="s">
        <v>24</v>
      </c>
      <c r="C416" t="s">
        <v>71</v>
      </c>
      <c r="D416" s="2">
        <v>10</v>
      </c>
      <c r="E416" s="2">
        <v>15</v>
      </c>
      <c r="F416">
        <v>10</v>
      </c>
      <c r="G416">
        <v>3</v>
      </c>
      <c r="H416">
        <f t="shared" si="1"/>
        <v>7</v>
      </c>
      <c r="I416" s="1">
        <v>44934</v>
      </c>
      <c r="J416" t="s">
        <v>6</v>
      </c>
    </row>
    <row r="417" spans="1:10" x14ac:dyDescent="0.25">
      <c r="A417" t="s">
        <v>28</v>
      </c>
      <c r="B417" t="s">
        <v>24</v>
      </c>
      <c r="C417" t="s">
        <v>72</v>
      </c>
      <c r="D417" s="2">
        <v>20</v>
      </c>
      <c r="E417" s="2">
        <v>25</v>
      </c>
      <c r="F417">
        <v>4</v>
      </c>
      <c r="G417">
        <v>0</v>
      </c>
      <c r="H417">
        <f t="shared" si="1"/>
        <v>4</v>
      </c>
      <c r="I417" s="1">
        <v>44934</v>
      </c>
      <c r="J417" t="s">
        <v>6</v>
      </c>
    </row>
    <row r="418" spans="1:10" x14ac:dyDescent="0.25">
      <c r="A418" t="s">
        <v>29</v>
      </c>
      <c r="B418" t="s">
        <v>30</v>
      </c>
      <c r="C418" t="s">
        <v>73</v>
      </c>
      <c r="D418" s="2">
        <v>25</v>
      </c>
      <c r="E418" s="2">
        <v>30</v>
      </c>
      <c r="F418">
        <v>10</v>
      </c>
      <c r="G418">
        <v>3</v>
      </c>
      <c r="H418">
        <f t="shared" si="1"/>
        <v>7</v>
      </c>
      <c r="I418" s="1">
        <v>44934</v>
      </c>
      <c r="J418" t="s">
        <v>6</v>
      </c>
    </row>
    <row r="419" spans="1:10" x14ac:dyDescent="0.25">
      <c r="A419" t="s">
        <v>31</v>
      </c>
      <c r="B419" t="s">
        <v>30</v>
      </c>
      <c r="C419" t="s">
        <v>74</v>
      </c>
      <c r="D419" s="2">
        <v>25</v>
      </c>
      <c r="E419" s="2">
        <v>30</v>
      </c>
      <c r="F419">
        <v>8</v>
      </c>
      <c r="G419">
        <v>6</v>
      </c>
      <c r="H419">
        <f t="shared" si="1"/>
        <v>2</v>
      </c>
      <c r="I419" s="1">
        <v>44934</v>
      </c>
      <c r="J419" t="s">
        <v>6</v>
      </c>
    </row>
    <row r="420" spans="1:10" x14ac:dyDescent="0.25">
      <c r="A420" t="s">
        <v>32</v>
      </c>
      <c r="B420" t="s">
        <v>30</v>
      </c>
      <c r="C420" t="s">
        <v>75</v>
      </c>
      <c r="D420" s="2">
        <v>25</v>
      </c>
      <c r="E420" s="2">
        <v>30</v>
      </c>
      <c r="F420">
        <v>10</v>
      </c>
      <c r="G420">
        <v>2</v>
      </c>
      <c r="H420">
        <f t="shared" si="1"/>
        <v>8</v>
      </c>
      <c r="I420" s="1">
        <v>44934</v>
      </c>
      <c r="J420" t="s">
        <v>6</v>
      </c>
    </row>
    <row r="421" spans="1:10" x14ac:dyDescent="0.25">
      <c r="A421" t="s">
        <v>33</v>
      </c>
      <c r="B421" t="s">
        <v>30</v>
      </c>
      <c r="C421" t="s">
        <v>76</v>
      </c>
      <c r="D421" s="2">
        <v>30</v>
      </c>
      <c r="E421" s="2">
        <v>35</v>
      </c>
      <c r="F421">
        <v>9</v>
      </c>
      <c r="G421">
        <v>4</v>
      </c>
      <c r="H421">
        <f t="shared" si="1"/>
        <v>5</v>
      </c>
      <c r="I421" s="1">
        <v>44934</v>
      </c>
      <c r="J421" t="s">
        <v>6</v>
      </c>
    </row>
    <row r="422" spans="1:10" x14ac:dyDescent="0.25">
      <c r="A422" t="s">
        <v>2</v>
      </c>
      <c r="B422" t="s">
        <v>3</v>
      </c>
      <c r="C422" t="s">
        <v>48</v>
      </c>
      <c r="D422" s="2">
        <v>100</v>
      </c>
      <c r="E422" s="2">
        <v>200</v>
      </c>
      <c r="F422">
        <v>1</v>
      </c>
      <c r="G422">
        <v>0</v>
      </c>
      <c r="H422">
        <f t="shared" si="1"/>
        <v>1</v>
      </c>
      <c r="I422" s="1">
        <v>44935</v>
      </c>
      <c r="J422" t="s">
        <v>10</v>
      </c>
    </row>
    <row r="423" spans="1:10" x14ac:dyDescent="0.25">
      <c r="A423" t="s">
        <v>7</v>
      </c>
      <c r="B423" t="s">
        <v>3</v>
      </c>
      <c r="C423" t="s">
        <v>77</v>
      </c>
      <c r="D423" s="2">
        <v>200</v>
      </c>
      <c r="E423" s="2">
        <v>300</v>
      </c>
      <c r="F423">
        <v>2</v>
      </c>
      <c r="G423">
        <v>2</v>
      </c>
      <c r="H423">
        <f t="shared" si="1"/>
        <v>0</v>
      </c>
      <c r="I423" s="1">
        <v>44935</v>
      </c>
      <c r="J423" t="s">
        <v>10</v>
      </c>
    </row>
    <row r="424" spans="1:10" x14ac:dyDescent="0.25">
      <c r="A424" t="s">
        <v>23</v>
      </c>
      <c r="B424" t="s">
        <v>3</v>
      </c>
      <c r="C424" t="s">
        <v>52</v>
      </c>
      <c r="D424" s="2">
        <v>150</v>
      </c>
      <c r="E424" s="2">
        <v>250</v>
      </c>
      <c r="F424">
        <v>1</v>
      </c>
      <c r="G424">
        <v>1</v>
      </c>
      <c r="H424">
        <f t="shared" si="1"/>
        <v>0</v>
      </c>
      <c r="I424" s="1">
        <v>44935</v>
      </c>
      <c r="J424" t="s">
        <v>10</v>
      </c>
    </row>
    <row r="425" spans="1:10" x14ac:dyDescent="0.25">
      <c r="A425" t="s">
        <v>9</v>
      </c>
      <c r="B425" t="s">
        <v>3</v>
      </c>
      <c r="C425" t="s">
        <v>53</v>
      </c>
      <c r="D425" s="2">
        <v>100</v>
      </c>
      <c r="E425" s="2">
        <v>200</v>
      </c>
      <c r="F425">
        <v>3</v>
      </c>
      <c r="G425">
        <v>1</v>
      </c>
      <c r="H425">
        <f t="shared" si="1"/>
        <v>2</v>
      </c>
      <c r="I425" s="1">
        <v>44935</v>
      </c>
      <c r="J425" t="s">
        <v>10</v>
      </c>
    </row>
    <row r="426" spans="1:10" x14ac:dyDescent="0.25">
      <c r="A426" t="s">
        <v>2</v>
      </c>
      <c r="B426" t="s">
        <v>12</v>
      </c>
      <c r="C426" t="s">
        <v>49</v>
      </c>
      <c r="D426" s="2">
        <v>250</v>
      </c>
      <c r="E426" s="2">
        <v>350</v>
      </c>
      <c r="F426">
        <v>2</v>
      </c>
      <c r="G426">
        <v>0</v>
      </c>
      <c r="H426">
        <f t="shared" si="1"/>
        <v>2</v>
      </c>
      <c r="I426" s="1">
        <v>44935</v>
      </c>
      <c r="J426" t="s">
        <v>10</v>
      </c>
    </row>
    <row r="427" spans="1:10" x14ac:dyDescent="0.25">
      <c r="A427" t="s">
        <v>7</v>
      </c>
      <c r="B427" t="s">
        <v>12</v>
      </c>
      <c r="C427" t="s">
        <v>54</v>
      </c>
      <c r="D427" s="2">
        <v>300</v>
      </c>
      <c r="E427" s="2">
        <v>400</v>
      </c>
      <c r="F427">
        <v>1</v>
      </c>
      <c r="G427">
        <v>1</v>
      </c>
      <c r="H427">
        <f t="shared" si="1"/>
        <v>0</v>
      </c>
      <c r="I427" s="1">
        <v>44935</v>
      </c>
      <c r="J427" t="s">
        <v>10</v>
      </c>
    </row>
    <row r="428" spans="1:10" x14ac:dyDescent="0.25">
      <c r="A428" t="s">
        <v>8</v>
      </c>
      <c r="B428" t="s">
        <v>12</v>
      </c>
      <c r="C428" t="s">
        <v>55</v>
      </c>
      <c r="D428" s="2">
        <v>250</v>
      </c>
      <c r="E428" s="2">
        <v>350</v>
      </c>
      <c r="F428">
        <v>2</v>
      </c>
      <c r="G428">
        <v>1</v>
      </c>
      <c r="H428">
        <f t="shared" si="1"/>
        <v>1</v>
      </c>
      <c r="I428" s="1">
        <v>44935</v>
      </c>
      <c r="J428" t="s">
        <v>10</v>
      </c>
    </row>
    <row r="429" spans="1:10" x14ac:dyDescent="0.25">
      <c r="A429" t="s">
        <v>9</v>
      </c>
      <c r="B429" t="s">
        <v>12</v>
      </c>
      <c r="C429" t="s">
        <v>56</v>
      </c>
      <c r="D429" s="2">
        <v>250</v>
      </c>
      <c r="E429" s="2">
        <v>350</v>
      </c>
      <c r="F429">
        <v>2</v>
      </c>
      <c r="G429">
        <v>2</v>
      </c>
      <c r="H429">
        <f t="shared" si="1"/>
        <v>0</v>
      </c>
      <c r="I429" s="1">
        <v>44935</v>
      </c>
      <c r="J429" t="s">
        <v>10</v>
      </c>
    </row>
    <row r="430" spans="1:10" x14ac:dyDescent="0.25">
      <c r="A430" t="s">
        <v>13</v>
      </c>
      <c r="B430" t="s">
        <v>12</v>
      </c>
      <c r="C430" t="s">
        <v>57</v>
      </c>
      <c r="D430" s="2">
        <v>300</v>
      </c>
      <c r="E430" s="2">
        <v>450</v>
      </c>
      <c r="F430">
        <v>2</v>
      </c>
      <c r="G430">
        <v>0</v>
      </c>
      <c r="H430">
        <f t="shared" si="1"/>
        <v>2</v>
      </c>
      <c r="I430" s="1">
        <v>44935</v>
      </c>
      <c r="J430" t="s">
        <v>10</v>
      </c>
    </row>
    <row r="431" spans="1:10" x14ac:dyDescent="0.25">
      <c r="A431" t="s">
        <v>14</v>
      </c>
      <c r="B431" t="s">
        <v>16</v>
      </c>
      <c r="C431" t="s">
        <v>50</v>
      </c>
      <c r="D431" s="2">
        <v>320</v>
      </c>
      <c r="E431" s="2">
        <v>400</v>
      </c>
      <c r="F431">
        <v>0</v>
      </c>
      <c r="G431">
        <v>0</v>
      </c>
      <c r="H431">
        <f t="shared" si="1"/>
        <v>0</v>
      </c>
      <c r="I431" s="1">
        <v>44935</v>
      </c>
      <c r="J431" t="s">
        <v>10</v>
      </c>
    </row>
    <row r="432" spans="1:10" x14ac:dyDescent="0.25">
      <c r="A432" t="s">
        <v>15</v>
      </c>
      <c r="B432" t="s">
        <v>16</v>
      </c>
      <c r="C432" t="s">
        <v>58</v>
      </c>
      <c r="D432" s="2">
        <v>100</v>
      </c>
      <c r="E432" s="2">
        <v>150</v>
      </c>
      <c r="F432">
        <v>5</v>
      </c>
      <c r="G432">
        <v>3</v>
      </c>
      <c r="H432">
        <f t="shared" si="1"/>
        <v>2</v>
      </c>
      <c r="I432" s="1">
        <v>44935</v>
      </c>
      <c r="J432" t="s">
        <v>10</v>
      </c>
    </row>
    <row r="433" spans="1:10" x14ac:dyDescent="0.25">
      <c r="A433" t="s">
        <v>2</v>
      </c>
      <c r="B433" t="s">
        <v>21</v>
      </c>
      <c r="C433" t="s">
        <v>51</v>
      </c>
      <c r="D433" s="2">
        <v>25</v>
      </c>
      <c r="E433" s="2">
        <v>40</v>
      </c>
      <c r="F433">
        <v>19</v>
      </c>
      <c r="G433">
        <v>3</v>
      </c>
      <c r="H433">
        <f t="shared" si="1"/>
        <v>16</v>
      </c>
      <c r="I433" s="1">
        <v>44935</v>
      </c>
      <c r="J433" t="s">
        <v>10</v>
      </c>
    </row>
    <row r="434" spans="1:10" x14ac:dyDescent="0.25">
      <c r="A434" t="s">
        <v>7</v>
      </c>
      <c r="B434" t="s">
        <v>21</v>
      </c>
      <c r="C434" t="s">
        <v>59</v>
      </c>
      <c r="D434" s="2">
        <v>30</v>
      </c>
      <c r="E434" s="2">
        <v>50</v>
      </c>
      <c r="F434">
        <v>4</v>
      </c>
      <c r="G434">
        <v>4</v>
      </c>
      <c r="H434">
        <f t="shared" si="1"/>
        <v>0</v>
      </c>
      <c r="I434" s="1">
        <v>44935</v>
      </c>
      <c r="J434" t="s">
        <v>10</v>
      </c>
    </row>
    <row r="435" spans="1:10" x14ac:dyDescent="0.25">
      <c r="A435" t="s">
        <v>9</v>
      </c>
      <c r="B435" t="s">
        <v>21</v>
      </c>
      <c r="C435" t="s">
        <v>60</v>
      </c>
      <c r="D435" s="2">
        <v>25</v>
      </c>
      <c r="E435" s="2">
        <v>40</v>
      </c>
      <c r="F435">
        <v>3</v>
      </c>
      <c r="G435">
        <v>2</v>
      </c>
      <c r="H435">
        <f t="shared" si="1"/>
        <v>1</v>
      </c>
      <c r="I435" s="1">
        <v>44935</v>
      </c>
      <c r="J435" t="s">
        <v>10</v>
      </c>
    </row>
    <row r="436" spans="1:10" x14ac:dyDescent="0.25">
      <c r="A436" t="s">
        <v>23</v>
      </c>
      <c r="B436" t="s">
        <v>21</v>
      </c>
      <c r="C436" t="s">
        <v>61</v>
      </c>
      <c r="D436" s="2">
        <v>25</v>
      </c>
      <c r="E436" s="2">
        <v>40</v>
      </c>
      <c r="F436">
        <v>5</v>
      </c>
      <c r="G436">
        <v>3</v>
      </c>
      <c r="H436">
        <f t="shared" si="1"/>
        <v>2</v>
      </c>
      <c r="I436" s="1">
        <v>44935</v>
      </c>
      <c r="J436" t="s">
        <v>10</v>
      </c>
    </row>
    <row r="437" spans="1:10" x14ac:dyDescent="0.25">
      <c r="A437" t="s">
        <v>13</v>
      </c>
      <c r="B437" t="s">
        <v>21</v>
      </c>
      <c r="C437" t="s">
        <v>62</v>
      </c>
      <c r="D437" s="2">
        <v>30</v>
      </c>
      <c r="E437" s="2">
        <v>55</v>
      </c>
      <c r="F437">
        <v>2</v>
      </c>
      <c r="G437">
        <v>1</v>
      </c>
      <c r="H437">
        <f t="shared" si="1"/>
        <v>1</v>
      </c>
      <c r="I437" s="1">
        <v>44935</v>
      </c>
      <c r="J437" t="s">
        <v>10</v>
      </c>
    </row>
    <row r="438" spans="1:10" x14ac:dyDescent="0.25">
      <c r="A438" t="s">
        <v>17</v>
      </c>
      <c r="B438" t="s">
        <v>21</v>
      </c>
      <c r="C438" t="s">
        <v>63</v>
      </c>
      <c r="D438" s="2">
        <v>40</v>
      </c>
      <c r="E438" s="2">
        <v>65</v>
      </c>
      <c r="F438">
        <v>14</v>
      </c>
      <c r="G438">
        <v>14</v>
      </c>
      <c r="H438">
        <f t="shared" si="1"/>
        <v>0</v>
      </c>
      <c r="I438" s="1">
        <v>44935</v>
      </c>
      <c r="J438" t="s">
        <v>10</v>
      </c>
    </row>
    <row r="439" spans="1:10" x14ac:dyDescent="0.25">
      <c r="A439" t="s">
        <v>34</v>
      </c>
      <c r="B439" t="s">
        <v>21</v>
      </c>
      <c r="C439" t="s">
        <v>64</v>
      </c>
      <c r="D439" s="2">
        <v>50</v>
      </c>
      <c r="E439" s="2">
        <v>70</v>
      </c>
      <c r="F439">
        <v>0</v>
      </c>
      <c r="G439">
        <v>0</v>
      </c>
      <c r="H439">
        <f t="shared" si="1"/>
        <v>0</v>
      </c>
      <c r="I439" s="1">
        <v>44935</v>
      </c>
      <c r="J439" t="s">
        <v>10</v>
      </c>
    </row>
    <row r="440" spans="1:10" x14ac:dyDescent="0.25">
      <c r="A440" t="s">
        <v>18</v>
      </c>
      <c r="B440" t="s">
        <v>21</v>
      </c>
      <c r="C440" t="s">
        <v>65</v>
      </c>
      <c r="D440" s="2">
        <v>20</v>
      </c>
      <c r="E440" s="2">
        <v>30</v>
      </c>
      <c r="F440">
        <v>15</v>
      </c>
      <c r="G440">
        <v>9</v>
      </c>
      <c r="H440">
        <f t="shared" si="1"/>
        <v>6</v>
      </c>
      <c r="I440" s="1">
        <v>44935</v>
      </c>
      <c r="J440" t="s">
        <v>10</v>
      </c>
    </row>
    <row r="441" spans="1:10" x14ac:dyDescent="0.25">
      <c r="A441" t="s">
        <v>19</v>
      </c>
      <c r="B441" t="s">
        <v>21</v>
      </c>
      <c r="C441" t="s">
        <v>66</v>
      </c>
      <c r="D441" s="2">
        <v>10</v>
      </c>
      <c r="E441" s="2">
        <v>20</v>
      </c>
      <c r="F441">
        <v>8</v>
      </c>
      <c r="G441">
        <v>8</v>
      </c>
      <c r="H441">
        <f t="shared" si="1"/>
        <v>0</v>
      </c>
      <c r="I441" s="1">
        <v>44935</v>
      </c>
      <c r="J441" t="s">
        <v>10</v>
      </c>
    </row>
    <row r="442" spans="1:10" x14ac:dyDescent="0.25">
      <c r="A442" t="s">
        <v>20</v>
      </c>
      <c r="B442" t="s">
        <v>21</v>
      </c>
      <c r="C442" t="s">
        <v>67</v>
      </c>
      <c r="D442" s="2">
        <v>60</v>
      </c>
      <c r="E442" s="2">
        <v>100</v>
      </c>
      <c r="F442">
        <v>6</v>
      </c>
      <c r="G442">
        <v>6</v>
      </c>
      <c r="H442">
        <f t="shared" si="1"/>
        <v>0</v>
      </c>
      <c r="I442" s="1">
        <v>44935</v>
      </c>
      <c r="J442" t="s">
        <v>10</v>
      </c>
    </row>
    <row r="443" spans="1:10" x14ac:dyDescent="0.25">
      <c r="A443" t="s">
        <v>22</v>
      </c>
      <c r="B443" t="s">
        <v>24</v>
      </c>
      <c r="C443" t="s">
        <v>68</v>
      </c>
      <c r="D443" s="2">
        <v>50</v>
      </c>
      <c r="E443" s="2">
        <v>70</v>
      </c>
      <c r="F443">
        <v>4</v>
      </c>
      <c r="G443">
        <v>0</v>
      </c>
      <c r="H443">
        <f t="shared" si="1"/>
        <v>4</v>
      </c>
      <c r="I443" s="1">
        <v>44935</v>
      </c>
      <c r="J443" t="s">
        <v>10</v>
      </c>
    </row>
    <row r="444" spans="1:10" x14ac:dyDescent="0.25">
      <c r="A444" t="s">
        <v>25</v>
      </c>
      <c r="B444" t="s">
        <v>24</v>
      </c>
      <c r="C444" t="s">
        <v>69</v>
      </c>
      <c r="D444" s="2">
        <v>45</v>
      </c>
      <c r="E444" s="2">
        <v>65</v>
      </c>
      <c r="F444">
        <v>1</v>
      </c>
      <c r="G444">
        <v>1</v>
      </c>
      <c r="H444">
        <f t="shared" si="1"/>
        <v>0</v>
      </c>
      <c r="I444" s="1">
        <v>44935</v>
      </c>
      <c r="J444" t="s">
        <v>10</v>
      </c>
    </row>
    <row r="445" spans="1:10" x14ac:dyDescent="0.25">
      <c r="A445" t="s">
        <v>26</v>
      </c>
      <c r="B445" t="s">
        <v>24</v>
      </c>
      <c r="C445" t="s">
        <v>70</v>
      </c>
      <c r="D445" s="2">
        <v>50</v>
      </c>
      <c r="E445" s="2">
        <v>70</v>
      </c>
      <c r="F445">
        <v>0</v>
      </c>
      <c r="G445">
        <v>0</v>
      </c>
      <c r="H445">
        <f t="shared" si="1"/>
        <v>0</v>
      </c>
      <c r="I445" s="1">
        <v>44935</v>
      </c>
      <c r="J445" t="s">
        <v>10</v>
      </c>
    </row>
    <row r="446" spans="1:10" x14ac:dyDescent="0.25">
      <c r="A446" t="s">
        <v>27</v>
      </c>
      <c r="B446" t="s">
        <v>24</v>
      </c>
      <c r="C446" t="s">
        <v>71</v>
      </c>
      <c r="D446" s="2">
        <v>10</v>
      </c>
      <c r="E446" s="2">
        <v>15</v>
      </c>
      <c r="F446">
        <v>8</v>
      </c>
      <c r="G446">
        <v>2</v>
      </c>
      <c r="H446">
        <f t="shared" si="1"/>
        <v>6</v>
      </c>
      <c r="I446" s="1">
        <v>44935</v>
      </c>
      <c r="J446" t="s">
        <v>10</v>
      </c>
    </row>
    <row r="447" spans="1:10" x14ac:dyDescent="0.25">
      <c r="A447" t="s">
        <v>28</v>
      </c>
      <c r="B447" t="s">
        <v>24</v>
      </c>
      <c r="C447" t="s">
        <v>72</v>
      </c>
      <c r="D447" s="2">
        <v>20</v>
      </c>
      <c r="E447" s="2">
        <v>25</v>
      </c>
      <c r="F447">
        <v>5</v>
      </c>
      <c r="G447">
        <v>4</v>
      </c>
      <c r="H447">
        <f t="shared" si="1"/>
        <v>1</v>
      </c>
      <c r="I447" s="1">
        <v>44935</v>
      </c>
      <c r="J447" t="s">
        <v>10</v>
      </c>
    </row>
    <row r="448" spans="1:10" x14ac:dyDescent="0.25">
      <c r="A448" t="s">
        <v>29</v>
      </c>
      <c r="B448" t="s">
        <v>30</v>
      </c>
      <c r="C448" t="s">
        <v>73</v>
      </c>
      <c r="D448" s="2">
        <v>25</v>
      </c>
      <c r="E448" s="2">
        <v>30</v>
      </c>
      <c r="F448">
        <v>3</v>
      </c>
      <c r="G448">
        <v>0</v>
      </c>
      <c r="H448">
        <f t="shared" si="1"/>
        <v>3</v>
      </c>
      <c r="I448" s="1">
        <v>44935</v>
      </c>
      <c r="J448" t="s">
        <v>10</v>
      </c>
    </row>
    <row r="449" spans="1:10" x14ac:dyDescent="0.25">
      <c r="A449" t="s">
        <v>31</v>
      </c>
      <c r="B449" t="s">
        <v>30</v>
      </c>
      <c r="C449" t="s">
        <v>74</v>
      </c>
      <c r="D449" s="2">
        <v>25</v>
      </c>
      <c r="E449" s="2">
        <v>30</v>
      </c>
      <c r="F449">
        <v>6</v>
      </c>
      <c r="G449">
        <v>2</v>
      </c>
      <c r="H449">
        <f t="shared" si="1"/>
        <v>4</v>
      </c>
      <c r="I449" s="1">
        <v>44935</v>
      </c>
      <c r="J449" t="s">
        <v>10</v>
      </c>
    </row>
    <row r="450" spans="1:10" x14ac:dyDescent="0.25">
      <c r="A450" t="s">
        <v>32</v>
      </c>
      <c r="B450" t="s">
        <v>30</v>
      </c>
      <c r="C450" t="s">
        <v>75</v>
      </c>
      <c r="D450" s="2">
        <v>25</v>
      </c>
      <c r="E450" s="2">
        <v>30</v>
      </c>
      <c r="F450">
        <v>2</v>
      </c>
      <c r="G450">
        <v>1</v>
      </c>
      <c r="H450">
        <f t="shared" si="1"/>
        <v>1</v>
      </c>
      <c r="I450" s="1">
        <v>44935</v>
      </c>
      <c r="J450" t="s">
        <v>10</v>
      </c>
    </row>
    <row r="451" spans="1:10" x14ac:dyDescent="0.25">
      <c r="A451" t="s">
        <v>33</v>
      </c>
      <c r="B451" t="s">
        <v>30</v>
      </c>
      <c r="C451" t="s">
        <v>76</v>
      </c>
      <c r="D451" s="2">
        <v>30</v>
      </c>
      <c r="E451" s="2">
        <v>35</v>
      </c>
      <c r="F451">
        <v>4</v>
      </c>
      <c r="G451">
        <v>0</v>
      </c>
      <c r="H451">
        <f t="shared" si="1"/>
        <v>4</v>
      </c>
      <c r="I451" s="1">
        <v>44935</v>
      </c>
      <c r="J451" t="s">
        <v>10</v>
      </c>
    </row>
    <row r="452" spans="1:10" x14ac:dyDescent="0.25">
      <c r="A452" t="s">
        <v>2</v>
      </c>
      <c r="B452" t="s">
        <v>3</v>
      </c>
      <c r="C452" t="s">
        <v>48</v>
      </c>
      <c r="D452" s="2">
        <v>100</v>
      </c>
      <c r="E452" s="2">
        <v>200</v>
      </c>
      <c r="F452">
        <v>3</v>
      </c>
      <c r="G452">
        <v>2</v>
      </c>
      <c r="H452">
        <f t="shared" si="1"/>
        <v>1</v>
      </c>
      <c r="I452" s="1">
        <v>44937</v>
      </c>
      <c r="J452" t="s">
        <v>42</v>
      </c>
    </row>
    <row r="453" spans="1:10" x14ac:dyDescent="0.25">
      <c r="A453" t="s">
        <v>7</v>
      </c>
      <c r="B453" t="s">
        <v>3</v>
      </c>
      <c r="C453" t="s">
        <v>77</v>
      </c>
      <c r="D453" s="2">
        <v>200</v>
      </c>
      <c r="E453" s="2">
        <v>300</v>
      </c>
      <c r="F453">
        <v>2</v>
      </c>
      <c r="G453">
        <v>1</v>
      </c>
      <c r="H453">
        <f t="shared" si="1"/>
        <v>1</v>
      </c>
      <c r="I453" s="1">
        <v>44937</v>
      </c>
      <c r="J453" t="s">
        <v>42</v>
      </c>
    </row>
    <row r="454" spans="1:10" x14ac:dyDescent="0.25">
      <c r="A454" t="s">
        <v>23</v>
      </c>
      <c r="B454" t="s">
        <v>3</v>
      </c>
      <c r="C454" t="s">
        <v>52</v>
      </c>
      <c r="D454" s="2">
        <v>150</v>
      </c>
      <c r="E454" s="2">
        <v>250</v>
      </c>
      <c r="F454">
        <v>3</v>
      </c>
      <c r="G454">
        <v>1</v>
      </c>
      <c r="H454">
        <f t="shared" si="1"/>
        <v>2</v>
      </c>
      <c r="I454" s="1">
        <v>44937</v>
      </c>
      <c r="J454" t="s">
        <v>42</v>
      </c>
    </row>
    <row r="455" spans="1:10" x14ac:dyDescent="0.25">
      <c r="A455" t="s">
        <v>9</v>
      </c>
      <c r="B455" t="s">
        <v>3</v>
      </c>
      <c r="C455" t="s">
        <v>53</v>
      </c>
      <c r="D455" s="2">
        <v>100</v>
      </c>
      <c r="E455" s="2">
        <v>200</v>
      </c>
      <c r="F455">
        <v>4</v>
      </c>
      <c r="G455">
        <v>1</v>
      </c>
      <c r="H455">
        <f t="shared" si="1"/>
        <v>3</v>
      </c>
      <c r="I455" s="1">
        <v>44937</v>
      </c>
      <c r="J455" t="s">
        <v>42</v>
      </c>
    </row>
    <row r="456" spans="1:10" x14ac:dyDescent="0.25">
      <c r="A456" t="s">
        <v>2</v>
      </c>
      <c r="B456" t="s">
        <v>12</v>
      </c>
      <c r="C456" t="s">
        <v>49</v>
      </c>
      <c r="D456" s="2">
        <v>250</v>
      </c>
      <c r="E456" s="2">
        <v>350</v>
      </c>
      <c r="F456">
        <v>2</v>
      </c>
      <c r="G456">
        <v>2</v>
      </c>
      <c r="H456">
        <f t="shared" si="1"/>
        <v>0</v>
      </c>
      <c r="I456" s="1">
        <v>44937</v>
      </c>
      <c r="J456" t="s">
        <v>42</v>
      </c>
    </row>
    <row r="457" spans="1:10" x14ac:dyDescent="0.25">
      <c r="A457" t="s">
        <v>7</v>
      </c>
      <c r="B457" t="s">
        <v>12</v>
      </c>
      <c r="C457" t="s">
        <v>54</v>
      </c>
      <c r="D457" s="2">
        <v>300</v>
      </c>
      <c r="E457" s="2">
        <v>400</v>
      </c>
      <c r="F457">
        <v>1</v>
      </c>
      <c r="G457">
        <v>1</v>
      </c>
      <c r="H457">
        <f t="shared" si="1"/>
        <v>0</v>
      </c>
      <c r="I457" s="1">
        <v>44937</v>
      </c>
      <c r="J457" t="s">
        <v>42</v>
      </c>
    </row>
    <row r="458" spans="1:10" x14ac:dyDescent="0.25">
      <c r="A458" t="s">
        <v>8</v>
      </c>
      <c r="B458" t="s">
        <v>12</v>
      </c>
      <c r="C458" t="s">
        <v>55</v>
      </c>
      <c r="D458" s="2">
        <v>250</v>
      </c>
      <c r="E458" s="2">
        <v>350</v>
      </c>
      <c r="F458">
        <v>2</v>
      </c>
      <c r="G458">
        <v>1</v>
      </c>
      <c r="H458">
        <f t="shared" si="1"/>
        <v>1</v>
      </c>
      <c r="I458" s="1">
        <v>44937</v>
      </c>
      <c r="J458" t="s">
        <v>42</v>
      </c>
    </row>
    <row r="459" spans="1:10" x14ac:dyDescent="0.25">
      <c r="A459" t="s">
        <v>9</v>
      </c>
      <c r="B459" t="s">
        <v>12</v>
      </c>
      <c r="C459" t="s">
        <v>56</v>
      </c>
      <c r="D459" s="2">
        <v>250</v>
      </c>
      <c r="E459" s="2">
        <v>350</v>
      </c>
      <c r="F459">
        <v>2</v>
      </c>
      <c r="G459">
        <v>1</v>
      </c>
      <c r="H459">
        <f t="shared" si="1"/>
        <v>1</v>
      </c>
      <c r="I459" s="1">
        <v>44937</v>
      </c>
      <c r="J459" t="s">
        <v>42</v>
      </c>
    </row>
    <row r="460" spans="1:10" x14ac:dyDescent="0.25">
      <c r="A460" t="s">
        <v>13</v>
      </c>
      <c r="B460" t="s">
        <v>12</v>
      </c>
      <c r="C460" t="s">
        <v>57</v>
      </c>
      <c r="D460" s="2">
        <v>300</v>
      </c>
      <c r="E460" s="2">
        <v>450</v>
      </c>
      <c r="F460">
        <v>1</v>
      </c>
      <c r="G460">
        <v>1</v>
      </c>
      <c r="H460">
        <f t="shared" si="1"/>
        <v>0</v>
      </c>
      <c r="I460" s="1">
        <v>44937</v>
      </c>
      <c r="J460" t="s">
        <v>42</v>
      </c>
    </row>
    <row r="461" spans="1:10" x14ac:dyDescent="0.25">
      <c r="A461" t="s">
        <v>14</v>
      </c>
      <c r="B461" t="s">
        <v>16</v>
      </c>
      <c r="C461" t="s">
        <v>50</v>
      </c>
      <c r="D461" s="2">
        <v>320</v>
      </c>
      <c r="E461" s="2">
        <v>400</v>
      </c>
      <c r="F461">
        <v>0</v>
      </c>
      <c r="G461">
        <v>0</v>
      </c>
      <c r="H461">
        <f t="shared" si="1"/>
        <v>0</v>
      </c>
      <c r="I461" s="1">
        <v>44937</v>
      </c>
      <c r="J461" t="s">
        <v>42</v>
      </c>
    </row>
    <row r="462" spans="1:10" x14ac:dyDescent="0.25">
      <c r="A462" t="s">
        <v>15</v>
      </c>
      <c r="B462" t="s">
        <v>16</v>
      </c>
      <c r="C462" t="s">
        <v>58</v>
      </c>
      <c r="D462" s="2">
        <v>100</v>
      </c>
      <c r="E462" s="2">
        <v>150</v>
      </c>
      <c r="F462">
        <v>3</v>
      </c>
      <c r="G462">
        <v>3</v>
      </c>
      <c r="H462">
        <f t="shared" si="1"/>
        <v>0</v>
      </c>
      <c r="I462" s="1">
        <v>44937</v>
      </c>
      <c r="J462" t="s">
        <v>42</v>
      </c>
    </row>
    <row r="463" spans="1:10" x14ac:dyDescent="0.25">
      <c r="A463" t="s">
        <v>2</v>
      </c>
      <c r="B463" t="s">
        <v>21</v>
      </c>
      <c r="C463" t="s">
        <v>51</v>
      </c>
      <c r="D463" s="2">
        <v>25</v>
      </c>
      <c r="E463" s="2">
        <v>40</v>
      </c>
      <c r="F463">
        <v>11</v>
      </c>
      <c r="G463">
        <v>3</v>
      </c>
      <c r="H463">
        <f t="shared" si="1"/>
        <v>8</v>
      </c>
      <c r="I463" s="1">
        <v>44937</v>
      </c>
      <c r="J463" t="s">
        <v>42</v>
      </c>
    </row>
    <row r="464" spans="1:10" x14ac:dyDescent="0.25">
      <c r="A464" t="s">
        <v>7</v>
      </c>
      <c r="B464" t="s">
        <v>21</v>
      </c>
      <c r="C464" t="s">
        <v>59</v>
      </c>
      <c r="D464" s="2">
        <v>30</v>
      </c>
      <c r="E464" s="2">
        <v>50</v>
      </c>
      <c r="F464">
        <v>12</v>
      </c>
      <c r="G464">
        <v>5</v>
      </c>
      <c r="H464">
        <f t="shared" si="1"/>
        <v>7</v>
      </c>
      <c r="I464" s="1">
        <v>44937</v>
      </c>
      <c r="J464" t="s">
        <v>42</v>
      </c>
    </row>
    <row r="465" spans="1:10" x14ac:dyDescent="0.25">
      <c r="A465" t="s">
        <v>9</v>
      </c>
      <c r="B465" t="s">
        <v>21</v>
      </c>
      <c r="C465" t="s">
        <v>60</v>
      </c>
      <c r="D465" s="2">
        <v>25</v>
      </c>
      <c r="E465" s="2">
        <v>40</v>
      </c>
      <c r="F465">
        <v>10</v>
      </c>
      <c r="G465">
        <v>10</v>
      </c>
      <c r="H465">
        <f t="shared" si="1"/>
        <v>0</v>
      </c>
      <c r="I465" s="1">
        <v>44937</v>
      </c>
      <c r="J465" t="s">
        <v>42</v>
      </c>
    </row>
    <row r="466" spans="1:10" x14ac:dyDescent="0.25">
      <c r="A466" t="s">
        <v>23</v>
      </c>
      <c r="B466" t="s">
        <v>21</v>
      </c>
      <c r="C466" t="s">
        <v>61</v>
      </c>
      <c r="D466" s="2">
        <v>25</v>
      </c>
      <c r="E466" s="2">
        <v>40</v>
      </c>
      <c r="F466">
        <v>11</v>
      </c>
      <c r="G466">
        <v>7</v>
      </c>
      <c r="H466">
        <f t="shared" si="1"/>
        <v>4</v>
      </c>
      <c r="I466" s="1">
        <v>44937</v>
      </c>
      <c r="J466" t="s">
        <v>42</v>
      </c>
    </row>
    <row r="467" spans="1:10" x14ac:dyDescent="0.25">
      <c r="A467" t="s">
        <v>13</v>
      </c>
      <c r="B467" t="s">
        <v>21</v>
      </c>
      <c r="C467" t="s">
        <v>62</v>
      </c>
      <c r="D467" s="2">
        <v>30</v>
      </c>
      <c r="E467" s="2">
        <v>55</v>
      </c>
      <c r="F467">
        <v>9</v>
      </c>
      <c r="G467">
        <v>9</v>
      </c>
      <c r="H467">
        <f t="shared" si="1"/>
        <v>0</v>
      </c>
      <c r="I467" s="1">
        <v>44937</v>
      </c>
      <c r="J467" t="s">
        <v>42</v>
      </c>
    </row>
    <row r="468" spans="1:10" x14ac:dyDescent="0.25">
      <c r="A468" t="s">
        <v>17</v>
      </c>
      <c r="B468" t="s">
        <v>21</v>
      </c>
      <c r="C468" t="s">
        <v>63</v>
      </c>
      <c r="D468" s="2">
        <v>40</v>
      </c>
      <c r="E468" s="2">
        <v>65</v>
      </c>
      <c r="F468">
        <v>14</v>
      </c>
      <c r="G468">
        <v>1</v>
      </c>
      <c r="H468">
        <f t="shared" si="1"/>
        <v>13</v>
      </c>
      <c r="I468" s="1">
        <v>44937</v>
      </c>
      <c r="J468" t="s">
        <v>42</v>
      </c>
    </row>
    <row r="469" spans="1:10" x14ac:dyDescent="0.25">
      <c r="A469" t="s">
        <v>34</v>
      </c>
      <c r="B469" t="s">
        <v>21</v>
      </c>
      <c r="C469" t="s">
        <v>64</v>
      </c>
      <c r="D469" s="2">
        <v>50</v>
      </c>
      <c r="E469" s="2">
        <v>70</v>
      </c>
      <c r="F469">
        <v>0</v>
      </c>
      <c r="G469">
        <v>0</v>
      </c>
      <c r="H469">
        <f t="shared" si="1"/>
        <v>0</v>
      </c>
      <c r="I469" s="1">
        <v>44937</v>
      </c>
      <c r="J469" t="s">
        <v>42</v>
      </c>
    </row>
    <row r="470" spans="1:10" x14ac:dyDescent="0.25">
      <c r="A470" t="s">
        <v>18</v>
      </c>
      <c r="B470" t="s">
        <v>21</v>
      </c>
      <c r="C470" t="s">
        <v>65</v>
      </c>
      <c r="D470" s="2">
        <v>20</v>
      </c>
      <c r="E470" s="2">
        <v>30</v>
      </c>
      <c r="F470">
        <v>28</v>
      </c>
      <c r="G470">
        <v>22</v>
      </c>
      <c r="H470">
        <f t="shared" si="1"/>
        <v>6</v>
      </c>
      <c r="I470" s="1">
        <v>44937</v>
      </c>
      <c r="J470" t="s">
        <v>42</v>
      </c>
    </row>
    <row r="471" spans="1:10" x14ac:dyDescent="0.25">
      <c r="A471" t="s">
        <v>19</v>
      </c>
      <c r="B471" t="s">
        <v>21</v>
      </c>
      <c r="C471" t="s">
        <v>66</v>
      </c>
      <c r="D471" s="2">
        <v>10</v>
      </c>
      <c r="E471" s="2">
        <v>20</v>
      </c>
      <c r="F471">
        <v>17</v>
      </c>
      <c r="G471">
        <v>17</v>
      </c>
      <c r="H471">
        <f t="shared" si="1"/>
        <v>0</v>
      </c>
      <c r="I471" s="1">
        <v>44937</v>
      </c>
      <c r="J471" t="s">
        <v>42</v>
      </c>
    </row>
    <row r="472" spans="1:10" x14ac:dyDescent="0.25">
      <c r="A472" t="s">
        <v>20</v>
      </c>
      <c r="B472" t="s">
        <v>21</v>
      </c>
      <c r="C472" t="s">
        <v>67</v>
      </c>
      <c r="D472" s="2">
        <v>60</v>
      </c>
      <c r="E472" s="2">
        <v>100</v>
      </c>
      <c r="F472">
        <v>6</v>
      </c>
      <c r="G472">
        <v>6</v>
      </c>
      <c r="H472">
        <f t="shared" si="1"/>
        <v>0</v>
      </c>
      <c r="I472" s="1">
        <v>44937</v>
      </c>
      <c r="J472" t="s">
        <v>42</v>
      </c>
    </row>
    <row r="473" spans="1:10" x14ac:dyDescent="0.25">
      <c r="A473" t="s">
        <v>22</v>
      </c>
      <c r="B473" t="s">
        <v>24</v>
      </c>
      <c r="C473" t="s">
        <v>68</v>
      </c>
      <c r="D473" s="2">
        <v>50</v>
      </c>
      <c r="E473" s="2">
        <v>70</v>
      </c>
      <c r="F473">
        <v>0</v>
      </c>
      <c r="G473">
        <v>0</v>
      </c>
      <c r="H473">
        <f t="shared" si="1"/>
        <v>0</v>
      </c>
      <c r="I473" s="1">
        <v>44937</v>
      </c>
      <c r="J473" t="s">
        <v>42</v>
      </c>
    </row>
    <row r="474" spans="1:10" x14ac:dyDescent="0.25">
      <c r="A474" t="s">
        <v>25</v>
      </c>
      <c r="B474" t="s">
        <v>24</v>
      </c>
      <c r="C474" t="s">
        <v>69</v>
      </c>
      <c r="D474" s="2">
        <v>45</v>
      </c>
      <c r="E474" s="2">
        <v>65</v>
      </c>
      <c r="F474">
        <v>1</v>
      </c>
      <c r="G474">
        <v>0</v>
      </c>
      <c r="H474">
        <f t="shared" si="1"/>
        <v>1</v>
      </c>
      <c r="I474" s="1">
        <v>44937</v>
      </c>
      <c r="J474" t="s">
        <v>42</v>
      </c>
    </row>
    <row r="475" spans="1:10" x14ac:dyDescent="0.25">
      <c r="A475" t="s">
        <v>26</v>
      </c>
      <c r="B475" t="s">
        <v>24</v>
      </c>
      <c r="C475" t="s">
        <v>70</v>
      </c>
      <c r="D475" s="2">
        <v>50</v>
      </c>
      <c r="E475" s="2">
        <v>70</v>
      </c>
      <c r="F475">
        <v>0</v>
      </c>
      <c r="G475">
        <v>0</v>
      </c>
      <c r="H475">
        <f t="shared" si="1"/>
        <v>0</v>
      </c>
      <c r="I475" s="1">
        <v>44937</v>
      </c>
      <c r="J475" t="s">
        <v>42</v>
      </c>
    </row>
    <row r="476" spans="1:10" x14ac:dyDescent="0.25">
      <c r="A476" t="s">
        <v>27</v>
      </c>
      <c r="B476" t="s">
        <v>24</v>
      </c>
      <c r="C476" t="s">
        <v>71</v>
      </c>
      <c r="D476" s="2">
        <v>10</v>
      </c>
      <c r="E476" s="2">
        <v>15</v>
      </c>
      <c r="F476">
        <v>7</v>
      </c>
      <c r="G476">
        <v>2</v>
      </c>
      <c r="H476">
        <f t="shared" si="1"/>
        <v>5</v>
      </c>
      <c r="I476" s="1">
        <v>44937</v>
      </c>
      <c r="J476" t="s">
        <v>42</v>
      </c>
    </row>
    <row r="477" spans="1:10" x14ac:dyDescent="0.25">
      <c r="A477" t="s">
        <v>28</v>
      </c>
      <c r="B477" t="s">
        <v>24</v>
      </c>
      <c r="C477" t="s">
        <v>72</v>
      </c>
      <c r="D477" s="2">
        <v>20</v>
      </c>
      <c r="E477" s="2">
        <v>25</v>
      </c>
      <c r="F477">
        <v>9</v>
      </c>
      <c r="G477">
        <v>3</v>
      </c>
      <c r="H477">
        <f t="shared" si="1"/>
        <v>6</v>
      </c>
      <c r="I477" s="1">
        <v>44937</v>
      </c>
      <c r="J477" t="s">
        <v>42</v>
      </c>
    </row>
    <row r="478" spans="1:10" x14ac:dyDescent="0.25">
      <c r="A478" t="s">
        <v>29</v>
      </c>
      <c r="B478" t="s">
        <v>30</v>
      </c>
      <c r="C478" t="s">
        <v>73</v>
      </c>
      <c r="D478" s="2">
        <v>25</v>
      </c>
      <c r="E478" s="2">
        <v>30</v>
      </c>
      <c r="F478">
        <v>10</v>
      </c>
      <c r="G478">
        <v>6</v>
      </c>
      <c r="H478">
        <f t="shared" si="1"/>
        <v>4</v>
      </c>
      <c r="I478" s="1">
        <v>44937</v>
      </c>
      <c r="J478" t="s">
        <v>42</v>
      </c>
    </row>
    <row r="479" spans="1:10" x14ac:dyDescent="0.25">
      <c r="A479" t="s">
        <v>31</v>
      </c>
      <c r="B479" t="s">
        <v>30</v>
      </c>
      <c r="C479" t="s">
        <v>74</v>
      </c>
      <c r="D479" s="2">
        <v>25</v>
      </c>
      <c r="E479" s="2">
        <v>30</v>
      </c>
      <c r="F479">
        <v>8</v>
      </c>
      <c r="G479">
        <v>7</v>
      </c>
      <c r="H479">
        <f t="shared" si="1"/>
        <v>1</v>
      </c>
      <c r="I479" s="1">
        <v>44937</v>
      </c>
      <c r="J479" t="s">
        <v>42</v>
      </c>
    </row>
    <row r="480" spans="1:10" x14ac:dyDescent="0.25">
      <c r="A480" t="s">
        <v>32</v>
      </c>
      <c r="B480" t="s">
        <v>30</v>
      </c>
      <c r="C480" t="s">
        <v>75</v>
      </c>
      <c r="D480" s="2">
        <v>25</v>
      </c>
      <c r="E480" s="2">
        <v>30</v>
      </c>
      <c r="F480">
        <v>7</v>
      </c>
      <c r="G480">
        <v>5</v>
      </c>
      <c r="H480">
        <f t="shared" si="1"/>
        <v>2</v>
      </c>
      <c r="I480" s="1">
        <v>44937</v>
      </c>
      <c r="J480" t="s">
        <v>42</v>
      </c>
    </row>
    <row r="481" spans="1:10" x14ac:dyDescent="0.25">
      <c r="A481" t="s">
        <v>33</v>
      </c>
      <c r="B481" t="s">
        <v>30</v>
      </c>
      <c r="C481" t="s">
        <v>76</v>
      </c>
      <c r="D481" s="2">
        <v>30</v>
      </c>
      <c r="E481" s="2">
        <v>35</v>
      </c>
      <c r="F481">
        <v>10</v>
      </c>
      <c r="G481">
        <v>8</v>
      </c>
      <c r="H481">
        <f t="shared" si="1"/>
        <v>2</v>
      </c>
      <c r="I481" s="1">
        <v>44937</v>
      </c>
      <c r="J481" t="s">
        <v>42</v>
      </c>
    </row>
    <row r="482" spans="1:10" x14ac:dyDescent="0.25">
      <c r="A482" t="s">
        <v>2</v>
      </c>
      <c r="B482" t="s">
        <v>3</v>
      </c>
      <c r="C482" t="s">
        <v>48</v>
      </c>
      <c r="D482" s="2">
        <v>100</v>
      </c>
      <c r="E482" s="2">
        <v>200</v>
      </c>
      <c r="F482">
        <v>2</v>
      </c>
      <c r="G482">
        <v>1</v>
      </c>
      <c r="H482">
        <f t="shared" si="1"/>
        <v>1</v>
      </c>
      <c r="I482" s="1">
        <v>44938</v>
      </c>
      <c r="J482" t="s">
        <v>36</v>
      </c>
    </row>
    <row r="483" spans="1:10" x14ac:dyDescent="0.25">
      <c r="A483" t="s">
        <v>7</v>
      </c>
      <c r="B483" t="s">
        <v>3</v>
      </c>
      <c r="C483" t="s">
        <v>77</v>
      </c>
      <c r="D483" s="2">
        <v>200</v>
      </c>
      <c r="E483" s="2">
        <v>300</v>
      </c>
      <c r="F483">
        <v>1</v>
      </c>
      <c r="G483">
        <v>1</v>
      </c>
      <c r="H483">
        <f t="shared" si="1"/>
        <v>0</v>
      </c>
      <c r="I483" s="1">
        <v>44938</v>
      </c>
      <c r="J483" t="s">
        <v>36</v>
      </c>
    </row>
    <row r="484" spans="1:10" x14ac:dyDescent="0.25">
      <c r="A484" t="s">
        <v>23</v>
      </c>
      <c r="B484" t="s">
        <v>3</v>
      </c>
      <c r="C484" t="s">
        <v>52</v>
      </c>
      <c r="D484" s="2">
        <v>150</v>
      </c>
      <c r="E484" s="2">
        <v>250</v>
      </c>
      <c r="F484">
        <v>2</v>
      </c>
      <c r="G484">
        <v>2</v>
      </c>
      <c r="H484">
        <f t="shared" si="1"/>
        <v>0</v>
      </c>
      <c r="I484" s="1">
        <v>44938</v>
      </c>
      <c r="J484" t="s">
        <v>36</v>
      </c>
    </row>
    <row r="485" spans="1:10" x14ac:dyDescent="0.25">
      <c r="A485" t="s">
        <v>9</v>
      </c>
      <c r="B485" t="s">
        <v>3</v>
      </c>
      <c r="C485" t="s">
        <v>53</v>
      </c>
      <c r="D485" s="2">
        <v>100</v>
      </c>
      <c r="E485" s="2">
        <v>200</v>
      </c>
      <c r="F485">
        <v>1</v>
      </c>
      <c r="G485">
        <v>0</v>
      </c>
      <c r="H485">
        <f t="shared" si="1"/>
        <v>1</v>
      </c>
      <c r="I485" s="1">
        <v>44938</v>
      </c>
      <c r="J485" t="s">
        <v>36</v>
      </c>
    </row>
    <row r="486" spans="1:10" x14ac:dyDescent="0.25">
      <c r="A486" t="s">
        <v>2</v>
      </c>
      <c r="B486" t="s">
        <v>12</v>
      </c>
      <c r="C486" t="s">
        <v>49</v>
      </c>
      <c r="D486" s="2">
        <v>250</v>
      </c>
      <c r="E486" s="2">
        <v>350</v>
      </c>
      <c r="F486">
        <v>2</v>
      </c>
      <c r="G486">
        <v>1</v>
      </c>
      <c r="H486">
        <f t="shared" si="1"/>
        <v>1</v>
      </c>
      <c r="I486" s="1">
        <v>44938</v>
      </c>
      <c r="J486" t="s">
        <v>36</v>
      </c>
    </row>
    <row r="487" spans="1:10" x14ac:dyDescent="0.25">
      <c r="A487" t="s">
        <v>7</v>
      </c>
      <c r="B487" t="s">
        <v>12</v>
      </c>
      <c r="C487" t="s">
        <v>54</v>
      </c>
      <c r="D487" s="2">
        <v>300</v>
      </c>
      <c r="E487" s="2">
        <v>400</v>
      </c>
      <c r="F487">
        <v>1</v>
      </c>
      <c r="G487">
        <v>1</v>
      </c>
      <c r="H487">
        <f t="shared" si="1"/>
        <v>0</v>
      </c>
      <c r="I487" s="1">
        <v>44938</v>
      </c>
      <c r="J487" t="s">
        <v>36</v>
      </c>
    </row>
    <row r="488" spans="1:10" x14ac:dyDescent="0.25">
      <c r="A488" t="s">
        <v>8</v>
      </c>
      <c r="B488" t="s">
        <v>12</v>
      </c>
      <c r="C488" t="s">
        <v>55</v>
      </c>
      <c r="D488" s="2">
        <v>250</v>
      </c>
      <c r="E488" s="2">
        <v>350</v>
      </c>
      <c r="F488">
        <v>1</v>
      </c>
      <c r="G488">
        <v>0</v>
      </c>
      <c r="H488">
        <f t="shared" si="1"/>
        <v>1</v>
      </c>
      <c r="I488" s="1">
        <v>44938</v>
      </c>
      <c r="J488" t="s">
        <v>36</v>
      </c>
    </row>
    <row r="489" spans="1:10" x14ac:dyDescent="0.25">
      <c r="A489" t="s">
        <v>9</v>
      </c>
      <c r="B489" t="s">
        <v>12</v>
      </c>
      <c r="C489" t="s">
        <v>56</v>
      </c>
      <c r="D489" s="2">
        <v>250</v>
      </c>
      <c r="E489" s="2">
        <v>350</v>
      </c>
      <c r="F489">
        <v>1</v>
      </c>
      <c r="G489">
        <v>0</v>
      </c>
      <c r="H489">
        <f t="shared" si="1"/>
        <v>1</v>
      </c>
      <c r="I489" s="1">
        <v>44938</v>
      </c>
      <c r="J489" t="s">
        <v>36</v>
      </c>
    </row>
    <row r="490" spans="1:10" x14ac:dyDescent="0.25">
      <c r="A490" t="s">
        <v>13</v>
      </c>
      <c r="B490" t="s">
        <v>12</v>
      </c>
      <c r="C490" t="s">
        <v>57</v>
      </c>
      <c r="D490" s="2">
        <v>300</v>
      </c>
      <c r="E490" s="2">
        <v>450</v>
      </c>
      <c r="F490">
        <v>1</v>
      </c>
      <c r="G490">
        <v>1</v>
      </c>
      <c r="H490">
        <f t="shared" si="1"/>
        <v>0</v>
      </c>
      <c r="I490" s="1">
        <v>44938</v>
      </c>
      <c r="J490" t="s">
        <v>36</v>
      </c>
    </row>
    <row r="491" spans="1:10" x14ac:dyDescent="0.25">
      <c r="A491" t="s">
        <v>14</v>
      </c>
      <c r="B491" t="s">
        <v>16</v>
      </c>
      <c r="C491" t="s">
        <v>50</v>
      </c>
      <c r="D491" s="2">
        <v>320</v>
      </c>
      <c r="E491" s="2">
        <v>400</v>
      </c>
      <c r="F491">
        <v>0</v>
      </c>
      <c r="G491">
        <v>0</v>
      </c>
      <c r="H491">
        <f t="shared" si="1"/>
        <v>0</v>
      </c>
      <c r="I491" s="1">
        <v>44938</v>
      </c>
      <c r="J491" t="s">
        <v>36</v>
      </c>
    </row>
    <row r="492" spans="1:10" x14ac:dyDescent="0.25">
      <c r="A492" t="s">
        <v>15</v>
      </c>
      <c r="B492" t="s">
        <v>16</v>
      </c>
      <c r="C492" t="s">
        <v>58</v>
      </c>
      <c r="D492" s="2">
        <v>100</v>
      </c>
      <c r="E492" s="2">
        <v>150</v>
      </c>
      <c r="F492">
        <v>3</v>
      </c>
      <c r="G492">
        <v>3</v>
      </c>
      <c r="H492">
        <f t="shared" si="1"/>
        <v>0</v>
      </c>
      <c r="I492" s="1">
        <v>44938</v>
      </c>
      <c r="J492" t="s">
        <v>36</v>
      </c>
    </row>
    <row r="493" spans="1:10" x14ac:dyDescent="0.25">
      <c r="A493" t="s">
        <v>2</v>
      </c>
      <c r="B493" t="s">
        <v>21</v>
      </c>
      <c r="C493" t="s">
        <v>51</v>
      </c>
      <c r="D493" s="2">
        <v>25</v>
      </c>
      <c r="E493" s="2">
        <v>40</v>
      </c>
      <c r="F493">
        <v>3</v>
      </c>
      <c r="G493">
        <v>3</v>
      </c>
      <c r="H493">
        <f t="shared" si="1"/>
        <v>0</v>
      </c>
      <c r="I493" s="1">
        <v>44938</v>
      </c>
      <c r="J493" t="s">
        <v>36</v>
      </c>
    </row>
    <row r="494" spans="1:10" x14ac:dyDescent="0.25">
      <c r="A494" t="s">
        <v>7</v>
      </c>
      <c r="B494" t="s">
        <v>21</v>
      </c>
      <c r="C494" t="s">
        <v>59</v>
      </c>
      <c r="D494" s="2">
        <v>30</v>
      </c>
      <c r="E494" s="2">
        <v>50</v>
      </c>
      <c r="F494">
        <v>5</v>
      </c>
      <c r="G494">
        <v>4</v>
      </c>
      <c r="H494">
        <f t="shared" si="1"/>
        <v>1</v>
      </c>
      <c r="I494" s="1">
        <v>44938</v>
      </c>
      <c r="J494" t="s">
        <v>36</v>
      </c>
    </row>
    <row r="495" spans="1:10" x14ac:dyDescent="0.25">
      <c r="A495" t="s">
        <v>9</v>
      </c>
      <c r="B495" t="s">
        <v>21</v>
      </c>
      <c r="C495" t="s">
        <v>60</v>
      </c>
      <c r="D495" s="2">
        <v>25</v>
      </c>
      <c r="E495" s="2">
        <v>40</v>
      </c>
      <c r="F495">
        <v>10</v>
      </c>
      <c r="G495">
        <v>10</v>
      </c>
      <c r="H495">
        <f t="shared" si="1"/>
        <v>0</v>
      </c>
      <c r="I495" s="1">
        <v>44938</v>
      </c>
      <c r="J495" t="s">
        <v>36</v>
      </c>
    </row>
    <row r="496" spans="1:10" x14ac:dyDescent="0.25">
      <c r="A496" t="s">
        <v>23</v>
      </c>
      <c r="B496" t="s">
        <v>21</v>
      </c>
      <c r="C496" t="s">
        <v>61</v>
      </c>
      <c r="D496" s="2">
        <v>25</v>
      </c>
      <c r="E496" s="2">
        <v>40</v>
      </c>
      <c r="F496">
        <v>7</v>
      </c>
      <c r="G496">
        <v>7</v>
      </c>
      <c r="H496">
        <f t="shared" si="1"/>
        <v>0</v>
      </c>
      <c r="I496" s="1">
        <v>44938</v>
      </c>
      <c r="J496" t="s">
        <v>36</v>
      </c>
    </row>
    <row r="497" spans="1:10" x14ac:dyDescent="0.25">
      <c r="A497" t="s">
        <v>13</v>
      </c>
      <c r="B497" t="s">
        <v>21</v>
      </c>
      <c r="C497" t="s">
        <v>62</v>
      </c>
      <c r="D497" s="2">
        <v>30</v>
      </c>
      <c r="E497" s="2">
        <v>55</v>
      </c>
      <c r="F497">
        <v>9</v>
      </c>
      <c r="G497">
        <v>8</v>
      </c>
      <c r="H497">
        <f t="shared" si="1"/>
        <v>1</v>
      </c>
      <c r="I497" s="1">
        <v>44938</v>
      </c>
      <c r="J497" t="s">
        <v>36</v>
      </c>
    </row>
    <row r="498" spans="1:10" x14ac:dyDescent="0.25">
      <c r="A498" t="s">
        <v>17</v>
      </c>
      <c r="B498" t="s">
        <v>21</v>
      </c>
      <c r="C498" t="s">
        <v>63</v>
      </c>
      <c r="D498" s="2">
        <v>40</v>
      </c>
      <c r="E498" s="2">
        <v>65</v>
      </c>
      <c r="F498">
        <v>11</v>
      </c>
      <c r="G498">
        <v>8</v>
      </c>
      <c r="H498">
        <f t="shared" si="1"/>
        <v>3</v>
      </c>
      <c r="I498" s="1">
        <v>44938</v>
      </c>
      <c r="J498" t="s">
        <v>36</v>
      </c>
    </row>
    <row r="499" spans="1:10" x14ac:dyDescent="0.25">
      <c r="A499" t="s">
        <v>34</v>
      </c>
      <c r="B499" t="s">
        <v>21</v>
      </c>
      <c r="C499" t="s">
        <v>64</v>
      </c>
      <c r="D499" s="2">
        <v>50</v>
      </c>
      <c r="E499" s="2">
        <v>70</v>
      </c>
      <c r="F499">
        <v>0</v>
      </c>
      <c r="G499">
        <v>0</v>
      </c>
      <c r="H499">
        <f t="shared" si="1"/>
        <v>0</v>
      </c>
      <c r="I499" s="1">
        <v>44938</v>
      </c>
      <c r="J499" t="s">
        <v>36</v>
      </c>
    </row>
    <row r="500" spans="1:10" x14ac:dyDescent="0.25">
      <c r="A500" t="s">
        <v>18</v>
      </c>
      <c r="B500" t="s">
        <v>21</v>
      </c>
      <c r="C500" t="s">
        <v>65</v>
      </c>
      <c r="D500" s="2">
        <v>20</v>
      </c>
      <c r="E500" s="2">
        <v>30</v>
      </c>
      <c r="F500">
        <v>22</v>
      </c>
      <c r="G500">
        <v>22</v>
      </c>
      <c r="H500">
        <f t="shared" si="1"/>
        <v>0</v>
      </c>
      <c r="I500" s="1">
        <v>44938</v>
      </c>
      <c r="J500" t="s">
        <v>36</v>
      </c>
    </row>
    <row r="501" spans="1:10" x14ac:dyDescent="0.25">
      <c r="A501" t="s">
        <v>19</v>
      </c>
      <c r="B501" t="s">
        <v>21</v>
      </c>
      <c r="C501" t="s">
        <v>66</v>
      </c>
      <c r="D501" s="2">
        <v>10</v>
      </c>
      <c r="E501" s="2">
        <v>20</v>
      </c>
      <c r="F501">
        <v>17</v>
      </c>
      <c r="G501">
        <v>17</v>
      </c>
      <c r="H501">
        <f t="shared" si="1"/>
        <v>0</v>
      </c>
      <c r="I501" s="1">
        <v>44938</v>
      </c>
      <c r="J501" t="s">
        <v>36</v>
      </c>
    </row>
    <row r="502" spans="1:10" x14ac:dyDescent="0.25">
      <c r="A502" t="s">
        <v>20</v>
      </c>
      <c r="B502" t="s">
        <v>21</v>
      </c>
      <c r="C502" t="s">
        <v>67</v>
      </c>
      <c r="D502" s="2">
        <v>60</v>
      </c>
      <c r="E502" s="2">
        <v>100</v>
      </c>
      <c r="F502">
        <v>6</v>
      </c>
      <c r="G502">
        <v>6</v>
      </c>
      <c r="H502">
        <f t="shared" si="1"/>
        <v>0</v>
      </c>
      <c r="I502" s="1">
        <v>44938</v>
      </c>
      <c r="J502" t="s">
        <v>36</v>
      </c>
    </row>
    <row r="503" spans="1:10" x14ac:dyDescent="0.25">
      <c r="A503" t="s">
        <v>22</v>
      </c>
      <c r="B503" t="s">
        <v>24</v>
      </c>
      <c r="C503" t="s">
        <v>68</v>
      </c>
      <c r="D503" s="2">
        <v>50</v>
      </c>
      <c r="E503" s="2">
        <v>70</v>
      </c>
      <c r="F503">
        <v>0</v>
      </c>
      <c r="G503">
        <v>0</v>
      </c>
      <c r="H503">
        <f t="shared" si="1"/>
        <v>0</v>
      </c>
      <c r="I503" s="1">
        <v>44938</v>
      </c>
      <c r="J503" t="s">
        <v>36</v>
      </c>
    </row>
    <row r="504" spans="1:10" x14ac:dyDescent="0.25">
      <c r="A504" t="s">
        <v>25</v>
      </c>
      <c r="B504" t="s">
        <v>24</v>
      </c>
      <c r="C504" t="s">
        <v>69</v>
      </c>
      <c r="D504" s="2">
        <v>45</v>
      </c>
      <c r="E504" s="2">
        <v>65</v>
      </c>
      <c r="F504">
        <v>0</v>
      </c>
      <c r="G504">
        <v>0</v>
      </c>
      <c r="H504">
        <f t="shared" si="1"/>
        <v>0</v>
      </c>
      <c r="I504" s="1">
        <v>44938</v>
      </c>
      <c r="J504" t="s">
        <v>36</v>
      </c>
    </row>
    <row r="505" spans="1:10" x14ac:dyDescent="0.25">
      <c r="A505" t="s">
        <v>26</v>
      </c>
      <c r="B505" t="s">
        <v>24</v>
      </c>
      <c r="C505" t="s">
        <v>70</v>
      </c>
      <c r="D505" s="2">
        <v>50</v>
      </c>
      <c r="E505" s="2">
        <v>70</v>
      </c>
      <c r="F505">
        <v>0</v>
      </c>
      <c r="G505">
        <v>0</v>
      </c>
      <c r="H505">
        <f t="shared" si="1"/>
        <v>0</v>
      </c>
      <c r="I505" s="1">
        <v>44938</v>
      </c>
      <c r="J505" t="s">
        <v>36</v>
      </c>
    </row>
    <row r="506" spans="1:10" x14ac:dyDescent="0.25">
      <c r="A506" t="s">
        <v>27</v>
      </c>
      <c r="B506" t="s">
        <v>24</v>
      </c>
      <c r="C506" t="s">
        <v>71</v>
      </c>
      <c r="D506" s="2">
        <v>10</v>
      </c>
      <c r="E506" s="2">
        <v>15</v>
      </c>
      <c r="F506">
        <v>2</v>
      </c>
      <c r="G506">
        <v>0</v>
      </c>
      <c r="H506">
        <f t="shared" si="1"/>
        <v>2</v>
      </c>
      <c r="I506" s="1">
        <v>44938</v>
      </c>
      <c r="J506" t="s">
        <v>36</v>
      </c>
    </row>
    <row r="507" spans="1:10" x14ac:dyDescent="0.25">
      <c r="A507" t="s">
        <v>28</v>
      </c>
      <c r="B507" t="s">
        <v>24</v>
      </c>
      <c r="C507" t="s">
        <v>72</v>
      </c>
      <c r="D507" s="2">
        <v>20</v>
      </c>
      <c r="E507" s="2">
        <v>25</v>
      </c>
      <c r="F507">
        <v>3</v>
      </c>
      <c r="G507">
        <v>0</v>
      </c>
      <c r="H507">
        <f t="shared" si="1"/>
        <v>3</v>
      </c>
      <c r="I507" s="1">
        <v>44938</v>
      </c>
      <c r="J507" t="s">
        <v>36</v>
      </c>
    </row>
    <row r="508" spans="1:10" x14ac:dyDescent="0.25">
      <c r="A508" t="s">
        <v>29</v>
      </c>
      <c r="B508" t="s">
        <v>30</v>
      </c>
      <c r="C508" t="s">
        <v>73</v>
      </c>
      <c r="D508" s="2">
        <v>25</v>
      </c>
      <c r="E508" s="2">
        <v>30</v>
      </c>
      <c r="F508">
        <v>16</v>
      </c>
      <c r="G508">
        <v>10</v>
      </c>
      <c r="H508">
        <f t="shared" si="1"/>
        <v>6</v>
      </c>
      <c r="I508" s="1">
        <v>44938</v>
      </c>
      <c r="J508" t="s">
        <v>36</v>
      </c>
    </row>
    <row r="509" spans="1:10" x14ac:dyDescent="0.25">
      <c r="A509" t="s">
        <v>31</v>
      </c>
      <c r="B509" t="s">
        <v>30</v>
      </c>
      <c r="C509" t="s">
        <v>74</v>
      </c>
      <c r="D509" s="2">
        <v>25</v>
      </c>
      <c r="E509" s="2">
        <v>30</v>
      </c>
      <c r="F509">
        <v>7</v>
      </c>
      <c r="G509">
        <v>7</v>
      </c>
      <c r="H509">
        <f t="shared" si="1"/>
        <v>0</v>
      </c>
      <c r="I509" s="1">
        <v>44938</v>
      </c>
      <c r="J509" t="s">
        <v>36</v>
      </c>
    </row>
    <row r="510" spans="1:10" x14ac:dyDescent="0.25">
      <c r="A510" t="s">
        <v>32</v>
      </c>
      <c r="B510" t="s">
        <v>30</v>
      </c>
      <c r="C510" t="s">
        <v>75</v>
      </c>
      <c r="D510" s="2">
        <v>25</v>
      </c>
      <c r="E510" s="2">
        <v>30</v>
      </c>
      <c r="F510">
        <v>5</v>
      </c>
      <c r="G510">
        <v>5</v>
      </c>
      <c r="H510">
        <f t="shared" si="1"/>
        <v>0</v>
      </c>
      <c r="I510" s="1">
        <v>44938</v>
      </c>
      <c r="J510" t="s">
        <v>36</v>
      </c>
    </row>
    <row r="511" spans="1:10" x14ac:dyDescent="0.25">
      <c r="A511" t="s">
        <v>33</v>
      </c>
      <c r="B511" t="s">
        <v>30</v>
      </c>
      <c r="C511" t="s">
        <v>76</v>
      </c>
      <c r="D511" s="2">
        <v>30</v>
      </c>
      <c r="E511" s="2">
        <v>35</v>
      </c>
      <c r="F511">
        <v>13</v>
      </c>
      <c r="G511">
        <v>2</v>
      </c>
      <c r="H511">
        <f t="shared" si="1"/>
        <v>11</v>
      </c>
      <c r="I511" s="1">
        <v>44938</v>
      </c>
      <c r="J511" t="s">
        <v>36</v>
      </c>
    </row>
    <row r="512" spans="1:10" x14ac:dyDescent="0.25">
      <c r="A512" t="s">
        <v>2</v>
      </c>
      <c r="B512" t="s">
        <v>3</v>
      </c>
      <c r="C512" t="s">
        <v>48</v>
      </c>
      <c r="D512" s="2">
        <v>100</v>
      </c>
      <c r="E512" s="2">
        <v>200</v>
      </c>
      <c r="F512">
        <v>3</v>
      </c>
      <c r="G512">
        <v>1</v>
      </c>
      <c r="H512">
        <f t="shared" si="1"/>
        <v>2</v>
      </c>
      <c r="I512" s="1">
        <v>44939</v>
      </c>
      <c r="J512" t="s">
        <v>37</v>
      </c>
    </row>
    <row r="513" spans="1:10" x14ac:dyDescent="0.25">
      <c r="A513" t="s">
        <v>7</v>
      </c>
      <c r="B513" t="s">
        <v>3</v>
      </c>
      <c r="C513" t="s">
        <v>77</v>
      </c>
      <c r="D513" s="2">
        <v>200</v>
      </c>
      <c r="E513" s="2">
        <v>300</v>
      </c>
      <c r="F513">
        <v>3</v>
      </c>
      <c r="G513">
        <v>3</v>
      </c>
      <c r="H513">
        <f t="shared" si="1"/>
        <v>0</v>
      </c>
      <c r="I513" s="1">
        <v>44939</v>
      </c>
      <c r="J513" t="s">
        <v>37</v>
      </c>
    </row>
    <row r="514" spans="1:10" x14ac:dyDescent="0.25">
      <c r="A514" t="s">
        <v>23</v>
      </c>
      <c r="B514" t="s">
        <v>3</v>
      </c>
      <c r="C514" t="s">
        <v>52</v>
      </c>
      <c r="D514" s="2">
        <v>150</v>
      </c>
      <c r="E514" s="2">
        <v>250</v>
      </c>
      <c r="F514">
        <v>4</v>
      </c>
      <c r="G514">
        <v>1</v>
      </c>
      <c r="H514">
        <f t="shared" ref="H514:H768" si="2">F514-G514</f>
        <v>3</v>
      </c>
      <c r="I514" s="1">
        <v>44939</v>
      </c>
      <c r="J514" t="s">
        <v>37</v>
      </c>
    </row>
    <row r="515" spans="1:10" x14ac:dyDescent="0.25">
      <c r="A515" t="s">
        <v>9</v>
      </c>
      <c r="B515" t="s">
        <v>3</v>
      </c>
      <c r="C515" t="s">
        <v>53</v>
      </c>
      <c r="D515" s="2">
        <v>100</v>
      </c>
      <c r="E515" s="2">
        <v>200</v>
      </c>
      <c r="F515">
        <v>2</v>
      </c>
      <c r="G515">
        <v>1</v>
      </c>
      <c r="H515">
        <f t="shared" si="2"/>
        <v>1</v>
      </c>
      <c r="I515" s="1">
        <v>44939</v>
      </c>
      <c r="J515" t="s">
        <v>37</v>
      </c>
    </row>
    <row r="516" spans="1:10" x14ac:dyDescent="0.25">
      <c r="A516" t="s">
        <v>2</v>
      </c>
      <c r="B516" t="s">
        <v>12</v>
      </c>
      <c r="C516" t="s">
        <v>49</v>
      </c>
      <c r="D516" s="2">
        <v>250</v>
      </c>
      <c r="E516" s="2">
        <v>350</v>
      </c>
      <c r="F516">
        <v>2</v>
      </c>
      <c r="G516">
        <v>2</v>
      </c>
      <c r="H516">
        <f t="shared" si="2"/>
        <v>0</v>
      </c>
      <c r="I516" s="1">
        <v>44939</v>
      </c>
      <c r="J516" t="s">
        <v>37</v>
      </c>
    </row>
    <row r="517" spans="1:10" x14ac:dyDescent="0.25">
      <c r="A517" t="s">
        <v>7</v>
      </c>
      <c r="B517" t="s">
        <v>12</v>
      </c>
      <c r="C517" t="s">
        <v>54</v>
      </c>
      <c r="D517" s="2">
        <v>300</v>
      </c>
      <c r="E517" s="2">
        <v>400</v>
      </c>
      <c r="F517">
        <v>2</v>
      </c>
      <c r="G517">
        <v>2</v>
      </c>
      <c r="H517">
        <f t="shared" si="2"/>
        <v>0</v>
      </c>
      <c r="I517" s="1">
        <v>44939</v>
      </c>
      <c r="J517" t="s">
        <v>37</v>
      </c>
    </row>
    <row r="518" spans="1:10" x14ac:dyDescent="0.25">
      <c r="A518" t="s">
        <v>8</v>
      </c>
      <c r="B518" t="s">
        <v>12</v>
      </c>
      <c r="C518" t="s">
        <v>55</v>
      </c>
      <c r="D518" s="2">
        <v>250</v>
      </c>
      <c r="E518" s="2">
        <v>350</v>
      </c>
      <c r="F518">
        <v>2</v>
      </c>
      <c r="G518">
        <v>1</v>
      </c>
      <c r="H518">
        <f t="shared" si="2"/>
        <v>1</v>
      </c>
      <c r="I518" s="1">
        <v>44939</v>
      </c>
      <c r="J518" t="s">
        <v>37</v>
      </c>
    </row>
    <row r="519" spans="1:10" x14ac:dyDescent="0.25">
      <c r="A519" t="s">
        <v>9</v>
      </c>
      <c r="B519" t="s">
        <v>12</v>
      </c>
      <c r="C519" t="s">
        <v>56</v>
      </c>
      <c r="D519" s="2">
        <v>250</v>
      </c>
      <c r="E519" s="2">
        <v>350</v>
      </c>
      <c r="F519">
        <v>0</v>
      </c>
      <c r="G519">
        <v>0</v>
      </c>
      <c r="H519">
        <f t="shared" si="2"/>
        <v>0</v>
      </c>
      <c r="I519" s="1">
        <v>44939</v>
      </c>
      <c r="J519" t="s">
        <v>37</v>
      </c>
    </row>
    <row r="520" spans="1:10" x14ac:dyDescent="0.25">
      <c r="A520" t="s">
        <v>13</v>
      </c>
      <c r="B520" t="s">
        <v>12</v>
      </c>
      <c r="C520" t="s">
        <v>57</v>
      </c>
      <c r="D520" s="2">
        <v>300</v>
      </c>
      <c r="E520" s="2">
        <v>450</v>
      </c>
      <c r="F520">
        <v>1</v>
      </c>
      <c r="G520">
        <v>1</v>
      </c>
      <c r="H520">
        <f t="shared" si="2"/>
        <v>0</v>
      </c>
      <c r="I520" s="1">
        <v>44939</v>
      </c>
      <c r="J520" t="s">
        <v>37</v>
      </c>
    </row>
    <row r="521" spans="1:10" x14ac:dyDescent="0.25">
      <c r="A521" t="s">
        <v>14</v>
      </c>
      <c r="B521" t="s">
        <v>16</v>
      </c>
      <c r="C521" t="s">
        <v>50</v>
      </c>
      <c r="D521" s="2">
        <v>320</v>
      </c>
      <c r="E521" s="2">
        <v>400</v>
      </c>
      <c r="F521">
        <v>0</v>
      </c>
      <c r="G521">
        <v>0</v>
      </c>
      <c r="H521">
        <f t="shared" si="2"/>
        <v>0</v>
      </c>
      <c r="I521" s="1">
        <v>44939</v>
      </c>
      <c r="J521" t="s">
        <v>37</v>
      </c>
    </row>
    <row r="522" spans="1:10" x14ac:dyDescent="0.25">
      <c r="A522" t="s">
        <v>15</v>
      </c>
      <c r="B522" t="s">
        <v>16</v>
      </c>
      <c r="C522" t="s">
        <v>58</v>
      </c>
      <c r="D522" s="2">
        <v>100</v>
      </c>
      <c r="E522" s="2">
        <v>150</v>
      </c>
      <c r="F522">
        <v>3</v>
      </c>
      <c r="G522">
        <v>3</v>
      </c>
      <c r="H522">
        <f t="shared" si="2"/>
        <v>0</v>
      </c>
      <c r="I522" s="1">
        <v>44939</v>
      </c>
      <c r="J522" t="s">
        <v>37</v>
      </c>
    </row>
    <row r="523" spans="1:10" x14ac:dyDescent="0.25">
      <c r="A523" t="s">
        <v>2</v>
      </c>
      <c r="B523" t="s">
        <v>21</v>
      </c>
      <c r="C523" t="s">
        <v>51</v>
      </c>
      <c r="D523" s="2">
        <v>25</v>
      </c>
      <c r="E523" s="2">
        <v>40</v>
      </c>
      <c r="F523">
        <v>16</v>
      </c>
      <c r="G523">
        <v>15</v>
      </c>
      <c r="H523">
        <f t="shared" si="2"/>
        <v>1</v>
      </c>
      <c r="I523" s="1">
        <v>44939</v>
      </c>
      <c r="J523" t="s">
        <v>37</v>
      </c>
    </row>
    <row r="524" spans="1:10" x14ac:dyDescent="0.25">
      <c r="A524" t="s">
        <v>7</v>
      </c>
      <c r="B524" t="s">
        <v>21</v>
      </c>
      <c r="C524" t="s">
        <v>59</v>
      </c>
      <c r="D524" s="2">
        <v>30</v>
      </c>
      <c r="E524" s="2">
        <v>50</v>
      </c>
      <c r="F524">
        <v>13</v>
      </c>
      <c r="G524">
        <v>13</v>
      </c>
      <c r="H524">
        <f t="shared" si="2"/>
        <v>0</v>
      </c>
      <c r="I524" s="1">
        <v>44939</v>
      </c>
      <c r="J524" t="s">
        <v>37</v>
      </c>
    </row>
    <row r="525" spans="1:10" x14ac:dyDescent="0.25">
      <c r="A525" t="s">
        <v>9</v>
      </c>
      <c r="B525" t="s">
        <v>21</v>
      </c>
      <c r="C525" t="s">
        <v>60</v>
      </c>
      <c r="D525" s="2">
        <v>25</v>
      </c>
      <c r="E525" s="2">
        <v>40</v>
      </c>
      <c r="F525">
        <v>18</v>
      </c>
      <c r="G525">
        <v>15</v>
      </c>
      <c r="H525">
        <f t="shared" si="2"/>
        <v>3</v>
      </c>
      <c r="I525" s="1">
        <v>44939</v>
      </c>
      <c r="J525" t="s">
        <v>37</v>
      </c>
    </row>
    <row r="526" spans="1:10" x14ac:dyDescent="0.25">
      <c r="A526" t="s">
        <v>23</v>
      </c>
      <c r="B526" t="s">
        <v>21</v>
      </c>
      <c r="C526" t="s">
        <v>61</v>
      </c>
      <c r="D526" s="2">
        <v>25</v>
      </c>
      <c r="E526" s="2">
        <v>40</v>
      </c>
      <c r="F526">
        <v>15</v>
      </c>
      <c r="G526">
        <v>9</v>
      </c>
      <c r="H526">
        <f t="shared" si="2"/>
        <v>6</v>
      </c>
      <c r="I526" s="1">
        <v>44939</v>
      </c>
      <c r="J526" t="s">
        <v>37</v>
      </c>
    </row>
    <row r="527" spans="1:10" x14ac:dyDescent="0.25">
      <c r="A527" t="s">
        <v>13</v>
      </c>
      <c r="B527" t="s">
        <v>21</v>
      </c>
      <c r="C527" t="s">
        <v>62</v>
      </c>
      <c r="D527" s="2">
        <v>30</v>
      </c>
      <c r="E527" s="2">
        <v>55</v>
      </c>
      <c r="F527">
        <v>16</v>
      </c>
      <c r="G527">
        <v>12</v>
      </c>
      <c r="H527">
        <f t="shared" si="2"/>
        <v>4</v>
      </c>
      <c r="I527" s="1">
        <v>44939</v>
      </c>
      <c r="J527" t="s">
        <v>37</v>
      </c>
    </row>
    <row r="528" spans="1:10" x14ac:dyDescent="0.25">
      <c r="A528" t="s">
        <v>17</v>
      </c>
      <c r="B528" t="s">
        <v>21</v>
      </c>
      <c r="C528" t="s">
        <v>63</v>
      </c>
      <c r="D528" s="2">
        <v>40</v>
      </c>
      <c r="E528" s="2">
        <v>65</v>
      </c>
      <c r="F528">
        <v>16</v>
      </c>
      <c r="G528">
        <v>9</v>
      </c>
      <c r="H528">
        <f t="shared" si="2"/>
        <v>7</v>
      </c>
      <c r="I528" s="1">
        <v>44939</v>
      </c>
      <c r="J528" t="s">
        <v>37</v>
      </c>
    </row>
    <row r="529" spans="1:10" x14ac:dyDescent="0.25">
      <c r="A529" t="s">
        <v>34</v>
      </c>
      <c r="B529" t="s">
        <v>21</v>
      </c>
      <c r="C529" t="s">
        <v>64</v>
      </c>
      <c r="D529" s="2">
        <v>50</v>
      </c>
      <c r="E529" s="2">
        <v>70</v>
      </c>
      <c r="F529">
        <v>0</v>
      </c>
      <c r="G529">
        <v>0</v>
      </c>
      <c r="H529">
        <f t="shared" si="2"/>
        <v>0</v>
      </c>
      <c r="I529" s="1">
        <v>44939</v>
      </c>
      <c r="J529" t="s">
        <v>37</v>
      </c>
    </row>
    <row r="530" spans="1:10" x14ac:dyDescent="0.25">
      <c r="A530" t="s">
        <v>18</v>
      </c>
      <c r="B530" t="s">
        <v>21</v>
      </c>
      <c r="C530" t="s">
        <v>65</v>
      </c>
      <c r="D530" s="2">
        <v>20</v>
      </c>
      <c r="E530" s="2">
        <v>30</v>
      </c>
      <c r="F530">
        <v>22</v>
      </c>
      <c r="G530">
        <v>17</v>
      </c>
      <c r="H530">
        <f t="shared" si="2"/>
        <v>5</v>
      </c>
      <c r="I530" s="1">
        <v>44939</v>
      </c>
      <c r="J530" t="s">
        <v>37</v>
      </c>
    </row>
    <row r="531" spans="1:10" x14ac:dyDescent="0.25">
      <c r="A531" t="s">
        <v>19</v>
      </c>
      <c r="B531" t="s">
        <v>21</v>
      </c>
      <c r="C531" t="s">
        <v>66</v>
      </c>
      <c r="D531" s="2">
        <v>10</v>
      </c>
      <c r="E531" s="2">
        <v>20</v>
      </c>
      <c r="F531">
        <v>17</v>
      </c>
      <c r="G531">
        <v>17</v>
      </c>
      <c r="H531">
        <f t="shared" si="2"/>
        <v>0</v>
      </c>
      <c r="I531" s="1">
        <v>44939</v>
      </c>
      <c r="J531" t="s">
        <v>37</v>
      </c>
    </row>
    <row r="532" spans="1:10" x14ac:dyDescent="0.25">
      <c r="A532" t="s">
        <v>20</v>
      </c>
      <c r="B532" t="s">
        <v>21</v>
      </c>
      <c r="C532" t="s">
        <v>67</v>
      </c>
      <c r="D532" s="2">
        <v>60</v>
      </c>
      <c r="E532" s="2">
        <v>100</v>
      </c>
      <c r="F532">
        <v>6</v>
      </c>
      <c r="G532">
        <v>4</v>
      </c>
      <c r="H532">
        <f t="shared" si="2"/>
        <v>2</v>
      </c>
      <c r="I532" s="1">
        <v>44939</v>
      </c>
      <c r="J532" t="s">
        <v>37</v>
      </c>
    </row>
    <row r="533" spans="1:10" x14ac:dyDescent="0.25">
      <c r="A533" t="s">
        <v>22</v>
      </c>
      <c r="B533" t="s">
        <v>24</v>
      </c>
      <c r="C533" t="s">
        <v>68</v>
      </c>
      <c r="D533" s="2">
        <v>50</v>
      </c>
      <c r="E533" s="2">
        <v>70</v>
      </c>
      <c r="F533">
        <v>4</v>
      </c>
      <c r="G533">
        <v>2</v>
      </c>
      <c r="H533">
        <f t="shared" si="2"/>
        <v>2</v>
      </c>
      <c r="I533" s="1">
        <v>44939</v>
      </c>
      <c r="J533" t="s">
        <v>37</v>
      </c>
    </row>
    <row r="534" spans="1:10" x14ac:dyDescent="0.25">
      <c r="A534" t="s">
        <v>25</v>
      </c>
      <c r="B534" t="s">
        <v>24</v>
      </c>
      <c r="C534" t="s">
        <v>69</v>
      </c>
      <c r="D534" s="2">
        <v>45</v>
      </c>
      <c r="E534" s="2">
        <v>65</v>
      </c>
      <c r="F534">
        <v>0</v>
      </c>
      <c r="G534">
        <v>0</v>
      </c>
      <c r="H534">
        <f t="shared" si="2"/>
        <v>0</v>
      </c>
      <c r="I534" s="1">
        <v>44939</v>
      </c>
      <c r="J534" t="s">
        <v>37</v>
      </c>
    </row>
    <row r="535" spans="1:10" x14ac:dyDescent="0.25">
      <c r="A535" t="s">
        <v>26</v>
      </c>
      <c r="B535" t="s">
        <v>24</v>
      </c>
      <c r="C535" t="s">
        <v>70</v>
      </c>
      <c r="D535" s="2">
        <v>50</v>
      </c>
      <c r="E535" s="2">
        <v>70</v>
      </c>
      <c r="F535">
        <v>0</v>
      </c>
      <c r="G535">
        <v>0</v>
      </c>
      <c r="H535">
        <f t="shared" si="2"/>
        <v>0</v>
      </c>
      <c r="I535" s="1">
        <v>44939</v>
      </c>
      <c r="J535" t="s">
        <v>37</v>
      </c>
    </row>
    <row r="536" spans="1:10" x14ac:dyDescent="0.25">
      <c r="A536" t="s">
        <v>27</v>
      </c>
      <c r="B536" t="s">
        <v>24</v>
      </c>
      <c r="C536" t="s">
        <v>71</v>
      </c>
      <c r="D536" s="2">
        <v>10</v>
      </c>
      <c r="E536" s="2">
        <v>15</v>
      </c>
      <c r="F536">
        <v>5</v>
      </c>
      <c r="G536">
        <v>5</v>
      </c>
      <c r="H536">
        <f t="shared" si="2"/>
        <v>0</v>
      </c>
      <c r="I536" s="1">
        <v>44939</v>
      </c>
      <c r="J536" t="s">
        <v>37</v>
      </c>
    </row>
    <row r="537" spans="1:10" x14ac:dyDescent="0.25">
      <c r="A537" t="s">
        <v>28</v>
      </c>
      <c r="B537" t="s">
        <v>24</v>
      </c>
      <c r="C537" t="s">
        <v>72</v>
      </c>
      <c r="D537" s="2">
        <v>20</v>
      </c>
      <c r="E537" s="2">
        <v>25</v>
      </c>
      <c r="F537">
        <v>5</v>
      </c>
      <c r="G537">
        <v>4</v>
      </c>
      <c r="H537">
        <f t="shared" si="2"/>
        <v>1</v>
      </c>
      <c r="I537" s="1">
        <v>44939</v>
      </c>
      <c r="J537" t="s">
        <v>37</v>
      </c>
    </row>
    <row r="538" spans="1:10" x14ac:dyDescent="0.25">
      <c r="A538" t="s">
        <v>29</v>
      </c>
      <c r="B538" t="s">
        <v>30</v>
      </c>
      <c r="C538" t="s">
        <v>73</v>
      </c>
      <c r="D538" s="2">
        <v>25</v>
      </c>
      <c r="E538" s="2">
        <v>30</v>
      </c>
      <c r="F538">
        <v>10</v>
      </c>
      <c r="G538">
        <v>7</v>
      </c>
      <c r="H538">
        <f t="shared" si="2"/>
        <v>3</v>
      </c>
      <c r="I538" s="1">
        <v>44939</v>
      </c>
      <c r="J538" t="s">
        <v>37</v>
      </c>
    </row>
    <row r="539" spans="1:10" x14ac:dyDescent="0.25">
      <c r="A539" t="s">
        <v>31</v>
      </c>
      <c r="B539" t="s">
        <v>30</v>
      </c>
      <c r="C539" t="s">
        <v>74</v>
      </c>
      <c r="D539" s="2">
        <v>25</v>
      </c>
      <c r="E539" s="2">
        <v>30</v>
      </c>
      <c r="F539">
        <v>7</v>
      </c>
      <c r="G539">
        <v>7</v>
      </c>
      <c r="H539">
        <f t="shared" si="2"/>
        <v>0</v>
      </c>
      <c r="I539" s="1">
        <v>44939</v>
      </c>
      <c r="J539" t="s">
        <v>37</v>
      </c>
    </row>
    <row r="540" spans="1:10" x14ac:dyDescent="0.25">
      <c r="A540" t="s">
        <v>32</v>
      </c>
      <c r="B540" t="s">
        <v>30</v>
      </c>
      <c r="C540" t="s">
        <v>75</v>
      </c>
      <c r="D540" s="2">
        <v>25</v>
      </c>
      <c r="E540" s="2">
        <v>30</v>
      </c>
      <c r="F540">
        <v>10</v>
      </c>
      <c r="G540">
        <v>9</v>
      </c>
      <c r="H540">
        <f t="shared" si="2"/>
        <v>1</v>
      </c>
      <c r="I540" s="1">
        <v>44939</v>
      </c>
      <c r="J540" t="s">
        <v>37</v>
      </c>
    </row>
    <row r="541" spans="1:10" x14ac:dyDescent="0.25">
      <c r="A541" t="s">
        <v>33</v>
      </c>
      <c r="B541" t="s">
        <v>30</v>
      </c>
      <c r="C541" t="s">
        <v>76</v>
      </c>
      <c r="D541" s="2">
        <v>30</v>
      </c>
      <c r="E541" s="2">
        <v>35</v>
      </c>
      <c r="F541">
        <v>7</v>
      </c>
      <c r="G541">
        <v>5</v>
      </c>
      <c r="H541">
        <f t="shared" si="2"/>
        <v>2</v>
      </c>
      <c r="I541" s="1">
        <v>44939</v>
      </c>
      <c r="J541" t="s">
        <v>37</v>
      </c>
    </row>
    <row r="542" spans="1:10" x14ac:dyDescent="0.25">
      <c r="A542" t="s">
        <v>2</v>
      </c>
      <c r="B542" t="s">
        <v>3</v>
      </c>
      <c r="C542" t="s">
        <v>48</v>
      </c>
      <c r="D542" s="2">
        <v>100</v>
      </c>
      <c r="E542" s="2">
        <v>200</v>
      </c>
      <c r="F542">
        <v>4</v>
      </c>
      <c r="G542">
        <v>4</v>
      </c>
      <c r="H542">
        <f t="shared" si="2"/>
        <v>0</v>
      </c>
      <c r="I542" s="1">
        <v>44940</v>
      </c>
      <c r="J542" t="s">
        <v>38</v>
      </c>
    </row>
    <row r="543" spans="1:10" x14ac:dyDescent="0.25">
      <c r="A543" t="s">
        <v>7</v>
      </c>
      <c r="B543" t="s">
        <v>3</v>
      </c>
      <c r="C543" t="s">
        <v>77</v>
      </c>
      <c r="D543" s="2">
        <v>200</v>
      </c>
      <c r="E543" s="2">
        <v>300</v>
      </c>
      <c r="F543">
        <v>5</v>
      </c>
      <c r="G543">
        <v>0</v>
      </c>
      <c r="H543">
        <f t="shared" si="2"/>
        <v>5</v>
      </c>
      <c r="I543" s="1">
        <v>44940</v>
      </c>
      <c r="J543" t="s">
        <v>38</v>
      </c>
    </row>
    <row r="544" spans="1:10" x14ac:dyDescent="0.25">
      <c r="A544" t="s">
        <v>23</v>
      </c>
      <c r="B544" t="s">
        <v>3</v>
      </c>
      <c r="C544" t="s">
        <v>52</v>
      </c>
      <c r="D544" s="2">
        <v>150</v>
      </c>
      <c r="E544" s="2">
        <v>250</v>
      </c>
      <c r="F544">
        <v>3</v>
      </c>
      <c r="G544">
        <v>3</v>
      </c>
      <c r="H544">
        <f t="shared" si="2"/>
        <v>0</v>
      </c>
      <c r="I544" s="1">
        <v>44940</v>
      </c>
      <c r="J544" t="s">
        <v>38</v>
      </c>
    </row>
    <row r="545" spans="1:10" x14ac:dyDescent="0.25">
      <c r="A545" t="s">
        <v>9</v>
      </c>
      <c r="B545" t="s">
        <v>3</v>
      </c>
      <c r="C545" t="s">
        <v>53</v>
      </c>
      <c r="D545" s="2">
        <v>100</v>
      </c>
      <c r="E545" s="2">
        <v>200</v>
      </c>
      <c r="F545">
        <v>3</v>
      </c>
      <c r="G545">
        <v>2</v>
      </c>
      <c r="H545">
        <f t="shared" si="2"/>
        <v>1</v>
      </c>
      <c r="I545" s="1">
        <v>44940</v>
      </c>
      <c r="J545" t="s">
        <v>38</v>
      </c>
    </row>
    <row r="546" spans="1:10" x14ac:dyDescent="0.25">
      <c r="A546" t="s">
        <v>2</v>
      </c>
      <c r="B546" t="s">
        <v>12</v>
      </c>
      <c r="C546" t="s">
        <v>49</v>
      </c>
      <c r="D546" s="2">
        <v>250</v>
      </c>
      <c r="E546" s="2">
        <v>350</v>
      </c>
      <c r="F546">
        <v>4</v>
      </c>
      <c r="G546">
        <v>2</v>
      </c>
      <c r="H546">
        <f t="shared" si="2"/>
        <v>2</v>
      </c>
      <c r="I546" s="1">
        <v>44940</v>
      </c>
      <c r="J546" t="s">
        <v>38</v>
      </c>
    </row>
    <row r="547" spans="1:10" x14ac:dyDescent="0.25">
      <c r="A547" t="s">
        <v>7</v>
      </c>
      <c r="B547" t="s">
        <v>12</v>
      </c>
      <c r="C547" t="s">
        <v>54</v>
      </c>
      <c r="D547" s="2">
        <v>300</v>
      </c>
      <c r="E547" s="2">
        <v>400</v>
      </c>
      <c r="F547">
        <v>4</v>
      </c>
      <c r="G547">
        <v>1</v>
      </c>
      <c r="H547">
        <f t="shared" si="2"/>
        <v>3</v>
      </c>
      <c r="I547" s="1">
        <v>44940</v>
      </c>
      <c r="J547" t="s">
        <v>38</v>
      </c>
    </row>
    <row r="548" spans="1:10" x14ac:dyDescent="0.25">
      <c r="A548" t="s">
        <v>8</v>
      </c>
      <c r="B548" t="s">
        <v>12</v>
      </c>
      <c r="C548" t="s">
        <v>55</v>
      </c>
      <c r="D548" s="2">
        <v>250</v>
      </c>
      <c r="E548" s="2">
        <v>350</v>
      </c>
      <c r="F548">
        <v>2</v>
      </c>
      <c r="G548">
        <v>0</v>
      </c>
      <c r="H548">
        <f t="shared" si="2"/>
        <v>2</v>
      </c>
      <c r="I548" s="1">
        <v>44940</v>
      </c>
      <c r="J548" t="s">
        <v>38</v>
      </c>
    </row>
    <row r="549" spans="1:10" x14ac:dyDescent="0.25">
      <c r="A549" t="s">
        <v>9</v>
      </c>
      <c r="B549" t="s">
        <v>12</v>
      </c>
      <c r="C549" t="s">
        <v>56</v>
      </c>
      <c r="D549" s="2">
        <v>250</v>
      </c>
      <c r="E549" s="2">
        <v>350</v>
      </c>
      <c r="F549">
        <v>1</v>
      </c>
      <c r="G549">
        <v>1</v>
      </c>
      <c r="H549">
        <f t="shared" si="2"/>
        <v>0</v>
      </c>
      <c r="I549" s="1">
        <v>44940</v>
      </c>
      <c r="J549" t="s">
        <v>38</v>
      </c>
    </row>
    <row r="550" spans="1:10" x14ac:dyDescent="0.25">
      <c r="A550" t="s">
        <v>13</v>
      </c>
      <c r="B550" t="s">
        <v>12</v>
      </c>
      <c r="C550" t="s">
        <v>57</v>
      </c>
      <c r="D550" s="2">
        <v>300</v>
      </c>
      <c r="E550" s="2">
        <v>450</v>
      </c>
      <c r="F550">
        <v>2</v>
      </c>
      <c r="G550">
        <v>0</v>
      </c>
      <c r="H550">
        <f t="shared" si="2"/>
        <v>2</v>
      </c>
      <c r="I550" s="1">
        <v>44940</v>
      </c>
      <c r="J550" t="s">
        <v>38</v>
      </c>
    </row>
    <row r="551" spans="1:10" x14ac:dyDescent="0.25">
      <c r="A551" t="s">
        <v>14</v>
      </c>
      <c r="B551" t="s">
        <v>16</v>
      </c>
      <c r="C551" t="s">
        <v>50</v>
      </c>
      <c r="D551" s="2">
        <v>320</v>
      </c>
      <c r="E551" s="2">
        <v>400</v>
      </c>
      <c r="F551">
        <v>0</v>
      </c>
      <c r="G551">
        <v>0</v>
      </c>
      <c r="H551">
        <f t="shared" si="2"/>
        <v>0</v>
      </c>
      <c r="I551" s="1">
        <v>44940</v>
      </c>
      <c r="J551" t="s">
        <v>38</v>
      </c>
    </row>
    <row r="552" spans="1:10" x14ac:dyDescent="0.25">
      <c r="A552" t="s">
        <v>15</v>
      </c>
      <c r="B552" t="s">
        <v>16</v>
      </c>
      <c r="C552" t="s">
        <v>58</v>
      </c>
      <c r="D552" s="2">
        <v>100</v>
      </c>
      <c r="E552" s="2">
        <v>150</v>
      </c>
      <c r="F552">
        <v>3</v>
      </c>
      <c r="G552">
        <v>3</v>
      </c>
      <c r="H552">
        <f t="shared" si="2"/>
        <v>0</v>
      </c>
      <c r="I552" s="1">
        <v>44940</v>
      </c>
      <c r="J552" t="s">
        <v>38</v>
      </c>
    </row>
    <row r="553" spans="1:10" x14ac:dyDescent="0.25">
      <c r="A553" t="s">
        <v>2</v>
      </c>
      <c r="B553" t="s">
        <v>21</v>
      </c>
      <c r="C553" t="s">
        <v>51</v>
      </c>
      <c r="D553" s="2">
        <v>25</v>
      </c>
      <c r="E553" s="2">
        <v>40</v>
      </c>
      <c r="F553">
        <v>15</v>
      </c>
      <c r="G553">
        <v>11</v>
      </c>
      <c r="H553">
        <f t="shared" si="2"/>
        <v>4</v>
      </c>
      <c r="I553" s="1">
        <v>44940</v>
      </c>
      <c r="J553" t="s">
        <v>38</v>
      </c>
    </row>
    <row r="554" spans="1:10" x14ac:dyDescent="0.25">
      <c r="A554" t="s">
        <v>7</v>
      </c>
      <c r="B554" t="s">
        <v>21</v>
      </c>
      <c r="C554" t="s">
        <v>59</v>
      </c>
      <c r="D554" s="2">
        <v>30</v>
      </c>
      <c r="E554" s="2">
        <v>50</v>
      </c>
      <c r="F554">
        <v>13</v>
      </c>
      <c r="G554">
        <v>11</v>
      </c>
      <c r="H554">
        <f t="shared" si="2"/>
        <v>2</v>
      </c>
      <c r="I554" s="1">
        <v>44940</v>
      </c>
      <c r="J554" t="s">
        <v>38</v>
      </c>
    </row>
    <row r="555" spans="1:10" x14ac:dyDescent="0.25">
      <c r="A555" t="s">
        <v>9</v>
      </c>
      <c r="B555" t="s">
        <v>21</v>
      </c>
      <c r="C555" t="s">
        <v>60</v>
      </c>
      <c r="D555" s="2">
        <v>25</v>
      </c>
      <c r="E555" s="2">
        <v>40</v>
      </c>
      <c r="F555">
        <v>15</v>
      </c>
      <c r="G555">
        <v>10</v>
      </c>
      <c r="H555">
        <f t="shared" si="2"/>
        <v>5</v>
      </c>
      <c r="I555" s="1">
        <v>44940</v>
      </c>
      <c r="J555" t="s">
        <v>38</v>
      </c>
    </row>
    <row r="556" spans="1:10" x14ac:dyDescent="0.25">
      <c r="A556" t="s">
        <v>23</v>
      </c>
      <c r="B556" t="s">
        <v>21</v>
      </c>
      <c r="C556" t="s">
        <v>61</v>
      </c>
      <c r="D556" s="2">
        <v>25</v>
      </c>
      <c r="E556" s="2">
        <v>40</v>
      </c>
      <c r="F556">
        <v>9</v>
      </c>
      <c r="G556">
        <v>2</v>
      </c>
      <c r="H556">
        <f t="shared" si="2"/>
        <v>7</v>
      </c>
      <c r="I556" s="1">
        <v>44940</v>
      </c>
      <c r="J556" t="s">
        <v>38</v>
      </c>
    </row>
    <row r="557" spans="1:10" x14ac:dyDescent="0.25">
      <c r="A557" t="s">
        <v>13</v>
      </c>
      <c r="B557" t="s">
        <v>21</v>
      </c>
      <c r="C557" t="s">
        <v>62</v>
      </c>
      <c r="D557" s="2">
        <v>30</v>
      </c>
      <c r="E557" s="2">
        <v>55</v>
      </c>
      <c r="F557">
        <v>12</v>
      </c>
      <c r="G557">
        <v>6</v>
      </c>
      <c r="H557">
        <f t="shared" si="2"/>
        <v>6</v>
      </c>
      <c r="I557" s="1">
        <v>44940</v>
      </c>
      <c r="J557" t="s">
        <v>38</v>
      </c>
    </row>
    <row r="558" spans="1:10" x14ac:dyDescent="0.25">
      <c r="A558" t="s">
        <v>17</v>
      </c>
      <c r="B558" t="s">
        <v>21</v>
      </c>
      <c r="C558" t="s">
        <v>63</v>
      </c>
      <c r="D558" s="2">
        <v>40</v>
      </c>
      <c r="E558" s="2">
        <v>65</v>
      </c>
      <c r="F558">
        <v>9</v>
      </c>
      <c r="G558">
        <v>5</v>
      </c>
      <c r="H558">
        <f t="shared" si="2"/>
        <v>4</v>
      </c>
      <c r="I558" s="1">
        <v>44940</v>
      </c>
      <c r="J558" t="s">
        <v>38</v>
      </c>
    </row>
    <row r="559" spans="1:10" x14ac:dyDescent="0.25">
      <c r="A559" t="s">
        <v>34</v>
      </c>
      <c r="B559" t="s">
        <v>21</v>
      </c>
      <c r="C559" t="s">
        <v>64</v>
      </c>
      <c r="D559" s="2">
        <v>50</v>
      </c>
      <c r="E559" s="2">
        <v>70</v>
      </c>
      <c r="F559">
        <v>0</v>
      </c>
      <c r="G559">
        <v>0</v>
      </c>
      <c r="H559">
        <f t="shared" si="2"/>
        <v>0</v>
      </c>
      <c r="I559" s="1">
        <v>44940</v>
      </c>
      <c r="J559" t="s">
        <v>38</v>
      </c>
    </row>
    <row r="560" spans="1:10" x14ac:dyDescent="0.25">
      <c r="A560" t="s">
        <v>18</v>
      </c>
      <c r="B560" t="s">
        <v>21</v>
      </c>
      <c r="C560" t="s">
        <v>65</v>
      </c>
      <c r="D560" s="2">
        <v>20</v>
      </c>
      <c r="E560" s="2">
        <v>30</v>
      </c>
      <c r="F560">
        <v>17</v>
      </c>
      <c r="G560">
        <v>13</v>
      </c>
      <c r="H560">
        <f t="shared" si="2"/>
        <v>4</v>
      </c>
      <c r="I560" s="1">
        <v>44940</v>
      </c>
      <c r="J560" t="s">
        <v>38</v>
      </c>
    </row>
    <row r="561" spans="1:10" x14ac:dyDescent="0.25">
      <c r="A561" t="s">
        <v>19</v>
      </c>
      <c r="B561" t="s">
        <v>21</v>
      </c>
      <c r="C561" t="s">
        <v>66</v>
      </c>
      <c r="D561" s="2">
        <v>10</v>
      </c>
      <c r="E561" s="2">
        <v>20</v>
      </c>
      <c r="F561">
        <v>17</v>
      </c>
      <c r="G561">
        <v>8</v>
      </c>
      <c r="H561">
        <f t="shared" si="2"/>
        <v>9</v>
      </c>
      <c r="I561" s="1">
        <v>44940</v>
      </c>
      <c r="J561" t="s">
        <v>38</v>
      </c>
    </row>
    <row r="562" spans="1:10" x14ac:dyDescent="0.25">
      <c r="A562" t="s">
        <v>20</v>
      </c>
      <c r="B562" t="s">
        <v>21</v>
      </c>
      <c r="C562" t="s">
        <v>67</v>
      </c>
      <c r="D562" s="2">
        <v>60</v>
      </c>
      <c r="E562" s="2">
        <v>100</v>
      </c>
      <c r="F562">
        <v>4</v>
      </c>
      <c r="G562">
        <v>4</v>
      </c>
      <c r="H562">
        <f t="shared" si="2"/>
        <v>0</v>
      </c>
      <c r="I562" s="1">
        <v>44940</v>
      </c>
      <c r="J562" t="s">
        <v>38</v>
      </c>
    </row>
    <row r="563" spans="1:10" x14ac:dyDescent="0.25">
      <c r="A563" t="s">
        <v>22</v>
      </c>
      <c r="B563" t="s">
        <v>24</v>
      </c>
      <c r="C563" t="s">
        <v>68</v>
      </c>
      <c r="D563" s="2">
        <v>50</v>
      </c>
      <c r="E563" s="2">
        <v>70</v>
      </c>
      <c r="F563">
        <v>4</v>
      </c>
      <c r="G563">
        <v>2</v>
      </c>
      <c r="H563">
        <f t="shared" si="2"/>
        <v>2</v>
      </c>
      <c r="I563" s="1">
        <v>44940</v>
      </c>
      <c r="J563" t="s">
        <v>38</v>
      </c>
    </row>
    <row r="564" spans="1:10" x14ac:dyDescent="0.25">
      <c r="A564" t="s">
        <v>25</v>
      </c>
      <c r="B564" t="s">
        <v>24</v>
      </c>
      <c r="C564" t="s">
        <v>69</v>
      </c>
      <c r="D564" s="2">
        <v>45</v>
      </c>
      <c r="E564" s="2">
        <v>65</v>
      </c>
      <c r="F564">
        <v>0</v>
      </c>
      <c r="G564">
        <v>0</v>
      </c>
      <c r="H564">
        <f t="shared" si="2"/>
        <v>0</v>
      </c>
      <c r="I564" s="1">
        <v>44940</v>
      </c>
      <c r="J564" t="s">
        <v>38</v>
      </c>
    </row>
    <row r="565" spans="1:10" x14ac:dyDescent="0.25">
      <c r="A565" t="s">
        <v>26</v>
      </c>
      <c r="B565" t="s">
        <v>24</v>
      </c>
      <c r="C565" t="s">
        <v>70</v>
      </c>
      <c r="D565" s="2">
        <v>50</v>
      </c>
      <c r="E565" s="2">
        <v>70</v>
      </c>
      <c r="F565">
        <v>0</v>
      </c>
      <c r="G565">
        <v>0</v>
      </c>
      <c r="H565">
        <f t="shared" si="2"/>
        <v>0</v>
      </c>
      <c r="I565" s="1">
        <v>44940</v>
      </c>
      <c r="J565" t="s">
        <v>38</v>
      </c>
    </row>
    <row r="566" spans="1:10" x14ac:dyDescent="0.25">
      <c r="A566" t="s">
        <v>27</v>
      </c>
      <c r="B566" t="s">
        <v>24</v>
      </c>
      <c r="C566" t="s">
        <v>71</v>
      </c>
      <c r="D566" s="2">
        <v>10</v>
      </c>
      <c r="E566" s="2">
        <v>15</v>
      </c>
      <c r="F566">
        <v>10</v>
      </c>
      <c r="G566">
        <v>3</v>
      </c>
      <c r="H566">
        <f t="shared" si="2"/>
        <v>7</v>
      </c>
      <c r="I566" s="1">
        <v>44940</v>
      </c>
      <c r="J566" t="s">
        <v>38</v>
      </c>
    </row>
    <row r="567" spans="1:10" x14ac:dyDescent="0.25">
      <c r="A567" t="s">
        <v>28</v>
      </c>
      <c r="B567" t="s">
        <v>24</v>
      </c>
      <c r="C567" t="s">
        <v>72</v>
      </c>
      <c r="D567" s="2">
        <v>20</v>
      </c>
      <c r="E567" s="2">
        <v>25</v>
      </c>
      <c r="F567">
        <v>9</v>
      </c>
      <c r="G567">
        <v>4</v>
      </c>
      <c r="H567">
        <f t="shared" si="2"/>
        <v>5</v>
      </c>
      <c r="I567" s="1">
        <v>44940</v>
      </c>
      <c r="J567" t="s">
        <v>38</v>
      </c>
    </row>
    <row r="568" spans="1:10" x14ac:dyDescent="0.25">
      <c r="A568" t="s">
        <v>29</v>
      </c>
      <c r="B568" t="s">
        <v>30</v>
      </c>
      <c r="C568" t="s">
        <v>73</v>
      </c>
      <c r="D568" s="2">
        <v>25</v>
      </c>
      <c r="E568" s="2">
        <v>30</v>
      </c>
      <c r="F568">
        <v>15</v>
      </c>
      <c r="G568">
        <v>8</v>
      </c>
      <c r="H568">
        <f t="shared" si="2"/>
        <v>7</v>
      </c>
      <c r="I568" s="1">
        <v>44940</v>
      </c>
      <c r="J568" t="s">
        <v>38</v>
      </c>
    </row>
    <row r="569" spans="1:10" x14ac:dyDescent="0.25">
      <c r="A569" t="s">
        <v>31</v>
      </c>
      <c r="B569" t="s">
        <v>30</v>
      </c>
      <c r="C569" t="s">
        <v>74</v>
      </c>
      <c r="D569" s="2">
        <v>25</v>
      </c>
      <c r="E569" s="2">
        <v>30</v>
      </c>
      <c r="F569">
        <v>7</v>
      </c>
      <c r="G569">
        <v>6</v>
      </c>
      <c r="H569">
        <f t="shared" si="2"/>
        <v>1</v>
      </c>
      <c r="I569" s="1">
        <v>44940</v>
      </c>
      <c r="J569" t="s">
        <v>38</v>
      </c>
    </row>
    <row r="570" spans="1:10" x14ac:dyDescent="0.25">
      <c r="A570" t="s">
        <v>32</v>
      </c>
      <c r="B570" t="s">
        <v>30</v>
      </c>
      <c r="C570" t="s">
        <v>75</v>
      </c>
      <c r="D570" s="2">
        <v>25</v>
      </c>
      <c r="E570" s="2">
        <v>30</v>
      </c>
      <c r="F570">
        <v>9</v>
      </c>
      <c r="G570">
        <v>4</v>
      </c>
      <c r="H570">
        <f t="shared" si="2"/>
        <v>5</v>
      </c>
      <c r="I570" s="1">
        <v>44940</v>
      </c>
      <c r="J570" t="s">
        <v>38</v>
      </c>
    </row>
    <row r="571" spans="1:10" x14ac:dyDescent="0.25">
      <c r="A571" t="s">
        <v>33</v>
      </c>
      <c r="B571" t="s">
        <v>30</v>
      </c>
      <c r="C571" t="s">
        <v>76</v>
      </c>
      <c r="D571" s="2">
        <v>30</v>
      </c>
      <c r="E571" s="2">
        <v>35</v>
      </c>
      <c r="F571">
        <v>8</v>
      </c>
      <c r="G571">
        <v>8</v>
      </c>
      <c r="H571">
        <f t="shared" si="2"/>
        <v>0</v>
      </c>
      <c r="I571" s="1">
        <v>44940</v>
      </c>
      <c r="J571" t="s">
        <v>38</v>
      </c>
    </row>
    <row r="572" spans="1:10" x14ac:dyDescent="0.25">
      <c r="A572" t="s">
        <v>2</v>
      </c>
      <c r="B572" t="s">
        <v>3</v>
      </c>
      <c r="C572" t="s">
        <v>48</v>
      </c>
      <c r="D572" s="2">
        <v>100</v>
      </c>
      <c r="E572" s="2">
        <v>200</v>
      </c>
      <c r="F572">
        <v>4</v>
      </c>
      <c r="G572">
        <v>2</v>
      </c>
      <c r="H572">
        <f t="shared" si="2"/>
        <v>2</v>
      </c>
      <c r="I572" s="1">
        <v>44941</v>
      </c>
      <c r="J572" t="s">
        <v>6</v>
      </c>
    </row>
    <row r="573" spans="1:10" x14ac:dyDescent="0.25">
      <c r="A573" t="s">
        <v>7</v>
      </c>
      <c r="B573" t="s">
        <v>3</v>
      </c>
      <c r="C573" t="s">
        <v>77</v>
      </c>
      <c r="D573" s="2">
        <v>200</v>
      </c>
      <c r="E573" s="2">
        <v>300</v>
      </c>
      <c r="F573">
        <v>0</v>
      </c>
      <c r="G573">
        <v>0</v>
      </c>
      <c r="H573">
        <f t="shared" si="2"/>
        <v>0</v>
      </c>
      <c r="I573" s="1">
        <v>44941</v>
      </c>
      <c r="J573" t="s">
        <v>6</v>
      </c>
    </row>
    <row r="574" spans="1:10" x14ac:dyDescent="0.25">
      <c r="A574" t="s">
        <v>23</v>
      </c>
      <c r="B574" t="s">
        <v>3</v>
      </c>
      <c r="C574" t="s">
        <v>52</v>
      </c>
      <c r="D574" s="2">
        <v>150</v>
      </c>
      <c r="E574" s="2">
        <v>250</v>
      </c>
      <c r="F574">
        <v>3</v>
      </c>
      <c r="G574">
        <v>2</v>
      </c>
      <c r="H574">
        <f t="shared" si="2"/>
        <v>1</v>
      </c>
      <c r="I574" s="1">
        <v>44941</v>
      </c>
      <c r="J574" t="s">
        <v>6</v>
      </c>
    </row>
    <row r="575" spans="1:10" x14ac:dyDescent="0.25">
      <c r="A575" t="s">
        <v>9</v>
      </c>
      <c r="B575" t="s">
        <v>3</v>
      </c>
      <c r="C575" t="s">
        <v>53</v>
      </c>
      <c r="D575" s="2">
        <v>100</v>
      </c>
      <c r="E575" s="2">
        <v>200</v>
      </c>
      <c r="F575">
        <v>2</v>
      </c>
      <c r="G575">
        <v>1</v>
      </c>
      <c r="H575">
        <f t="shared" si="2"/>
        <v>1</v>
      </c>
      <c r="I575" s="1">
        <v>44941</v>
      </c>
      <c r="J575" t="s">
        <v>6</v>
      </c>
    </row>
    <row r="576" spans="1:10" x14ac:dyDescent="0.25">
      <c r="A576" t="s">
        <v>2</v>
      </c>
      <c r="B576" t="s">
        <v>12</v>
      </c>
      <c r="C576" t="s">
        <v>49</v>
      </c>
      <c r="D576" s="2">
        <v>250</v>
      </c>
      <c r="E576" s="2">
        <v>350</v>
      </c>
      <c r="F576">
        <v>2</v>
      </c>
      <c r="G576">
        <v>2</v>
      </c>
      <c r="H576">
        <f t="shared" si="2"/>
        <v>0</v>
      </c>
      <c r="I576" s="1">
        <v>44941</v>
      </c>
      <c r="J576" t="s">
        <v>6</v>
      </c>
    </row>
    <row r="577" spans="1:10" x14ac:dyDescent="0.25">
      <c r="A577" t="s">
        <v>7</v>
      </c>
      <c r="B577" t="s">
        <v>12</v>
      </c>
      <c r="C577" t="s">
        <v>54</v>
      </c>
      <c r="D577" s="2">
        <v>300</v>
      </c>
      <c r="E577" s="2">
        <v>400</v>
      </c>
      <c r="F577">
        <v>1</v>
      </c>
      <c r="G577">
        <v>1</v>
      </c>
      <c r="H577">
        <f t="shared" si="2"/>
        <v>0</v>
      </c>
      <c r="I577" s="1">
        <v>44941</v>
      </c>
      <c r="J577" t="s">
        <v>6</v>
      </c>
    </row>
    <row r="578" spans="1:10" x14ac:dyDescent="0.25">
      <c r="A578" t="s">
        <v>8</v>
      </c>
      <c r="B578" t="s">
        <v>12</v>
      </c>
      <c r="C578" t="s">
        <v>55</v>
      </c>
      <c r="D578" s="2">
        <v>250</v>
      </c>
      <c r="E578" s="2">
        <v>350</v>
      </c>
      <c r="F578">
        <v>0</v>
      </c>
      <c r="G578">
        <v>0</v>
      </c>
      <c r="H578">
        <f t="shared" si="2"/>
        <v>0</v>
      </c>
      <c r="I578" s="1">
        <v>44941</v>
      </c>
      <c r="J578" t="s">
        <v>6</v>
      </c>
    </row>
    <row r="579" spans="1:10" x14ac:dyDescent="0.25">
      <c r="A579" t="s">
        <v>9</v>
      </c>
      <c r="B579" t="s">
        <v>12</v>
      </c>
      <c r="C579" t="s">
        <v>56</v>
      </c>
      <c r="D579" s="2">
        <v>250</v>
      </c>
      <c r="E579" s="2">
        <v>350</v>
      </c>
      <c r="F579">
        <v>2</v>
      </c>
      <c r="G579">
        <v>2</v>
      </c>
      <c r="H579">
        <f t="shared" si="2"/>
        <v>0</v>
      </c>
      <c r="I579" s="1">
        <v>44941</v>
      </c>
      <c r="J579" t="s">
        <v>6</v>
      </c>
    </row>
    <row r="580" spans="1:10" x14ac:dyDescent="0.25">
      <c r="A580" t="s">
        <v>13</v>
      </c>
      <c r="B580" t="s">
        <v>12</v>
      </c>
      <c r="C580" t="s">
        <v>57</v>
      </c>
      <c r="D580" s="2">
        <v>300</v>
      </c>
      <c r="E580" s="2">
        <v>450</v>
      </c>
      <c r="F580">
        <v>0</v>
      </c>
      <c r="G580">
        <v>0</v>
      </c>
      <c r="H580">
        <f t="shared" si="2"/>
        <v>0</v>
      </c>
      <c r="I580" s="1">
        <v>44941</v>
      </c>
      <c r="J580" t="s">
        <v>6</v>
      </c>
    </row>
    <row r="581" spans="1:10" x14ac:dyDescent="0.25">
      <c r="A581" t="s">
        <v>14</v>
      </c>
      <c r="B581" t="s">
        <v>16</v>
      </c>
      <c r="C581" t="s">
        <v>50</v>
      </c>
      <c r="D581" s="2">
        <v>320</v>
      </c>
      <c r="E581" s="2">
        <v>400</v>
      </c>
      <c r="F581">
        <v>0</v>
      </c>
      <c r="G581">
        <v>0</v>
      </c>
      <c r="H581">
        <f t="shared" si="2"/>
        <v>0</v>
      </c>
      <c r="I581" s="1">
        <v>44941</v>
      </c>
      <c r="J581" t="s">
        <v>6</v>
      </c>
    </row>
    <row r="582" spans="1:10" x14ac:dyDescent="0.25">
      <c r="A582" t="s">
        <v>15</v>
      </c>
      <c r="B582" t="s">
        <v>16</v>
      </c>
      <c r="C582" t="s">
        <v>58</v>
      </c>
      <c r="D582" s="2">
        <v>100</v>
      </c>
      <c r="E582" s="2">
        <v>150</v>
      </c>
      <c r="F582">
        <v>3</v>
      </c>
      <c r="G582">
        <v>3</v>
      </c>
      <c r="H582">
        <f t="shared" si="2"/>
        <v>0</v>
      </c>
      <c r="I582" s="1">
        <v>44941</v>
      </c>
      <c r="J582" t="s">
        <v>6</v>
      </c>
    </row>
    <row r="583" spans="1:10" x14ac:dyDescent="0.25">
      <c r="A583" t="s">
        <v>2</v>
      </c>
      <c r="B583" t="s">
        <v>21</v>
      </c>
      <c r="C583" t="s">
        <v>51</v>
      </c>
      <c r="D583" s="2">
        <v>25</v>
      </c>
      <c r="E583" s="2">
        <v>40</v>
      </c>
      <c r="F583">
        <v>11</v>
      </c>
      <c r="G583">
        <v>11</v>
      </c>
      <c r="H583">
        <f t="shared" si="2"/>
        <v>0</v>
      </c>
      <c r="I583" s="1">
        <v>44941</v>
      </c>
      <c r="J583" t="s">
        <v>6</v>
      </c>
    </row>
    <row r="584" spans="1:10" x14ac:dyDescent="0.25">
      <c r="A584" t="s">
        <v>7</v>
      </c>
      <c r="B584" t="s">
        <v>21</v>
      </c>
      <c r="C584" t="s">
        <v>59</v>
      </c>
      <c r="D584" s="2">
        <v>30</v>
      </c>
      <c r="E584" s="2">
        <v>50</v>
      </c>
      <c r="F584">
        <v>11</v>
      </c>
      <c r="G584">
        <v>11</v>
      </c>
      <c r="H584">
        <f t="shared" si="2"/>
        <v>0</v>
      </c>
      <c r="I584" s="1">
        <v>44941</v>
      </c>
      <c r="J584" t="s">
        <v>6</v>
      </c>
    </row>
    <row r="585" spans="1:10" x14ac:dyDescent="0.25">
      <c r="A585" t="s">
        <v>9</v>
      </c>
      <c r="B585" t="s">
        <v>21</v>
      </c>
      <c r="C585" t="s">
        <v>60</v>
      </c>
      <c r="D585" s="2">
        <v>25</v>
      </c>
      <c r="E585" s="2">
        <v>40</v>
      </c>
      <c r="F585">
        <v>10</v>
      </c>
      <c r="G585">
        <v>8</v>
      </c>
      <c r="H585">
        <f t="shared" si="2"/>
        <v>2</v>
      </c>
      <c r="I585" s="1">
        <v>44941</v>
      </c>
      <c r="J585" t="s">
        <v>6</v>
      </c>
    </row>
    <row r="586" spans="1:10" x14ac:dyDescent="0.25">
      <c r="A586" t="s">
        <v>23</v>
      </c>
      <c r="B586" t="s">
        <v>21</v>
      </c>
      <c r="C586" t="s">
        <v>61</v>
      </c>
      <c r="D586" s="2">
        <v>25</v>
      </c>
      <c r="E586" s="2">
        <v>40</v>
      </c>
      <c r="F586">
        <v>2</v>
      </c>
      <c r="G586">
        <v>2</v>
      </c>
      <c r="H586">
        <f t="shared" si="2"/>
        <v>0</v>
      </c>
      <c r="I586" s="1">
        <v>44941</v>
      </c>
      <c r="J586" t="s">
        <v>6</v>
      </c>
    </row>
    <row r="587" spans="1:10" x14ac:dyDescent="0.25">
      <c r="A587" t="s">
        <v>13</v>
      </c>
      <c r="B587" t="s">
        <v>21</v>
      </c>
      <c r="C587" t="s">
        <v>62</v>
      </c>
      <c r="D587" s="2">
        <v>30</v>
      </c>
      <c r="E587" s="2">
        <v>55</v>
      </c>
      <c r="F587">
        <v>6</v>
      </c>
      <c r="G587">
        <v>4</v>
      </c>
      <c r="H587">
        <f t="shared" si="2"/>
        <v>2</v>
      </c>
      <c r="I587" s="1">
        <v>44941</v>
      </c>
      <c r="J587" t="s">
        <v>6</v>
      </c>
    </row>
    <row r="588" spans="1:10" x14ac:dyDescent="0.25">
      <c r="A588" t="s">
        <v>17</v>
      </c>
      <c r="B588" t="s">
        <v>21</v>
      </c>
      <c r="C588" t="s">
        <v>63</v>
      </c>
      <c r="D588" s="2">
        <v>40</v>
      </c>
      <c r="E588" s="2">
        <v>65</v>
      </c>
      <c r="F588">
        <v>5</v>
      </c>
      <c r="G588">
        <v>4</v>
      </c>
      <c r="H588">
        <f t="shared" si="2"/>
        <v>1</v>
      </c>
      <c r="I588" s="1">
        <v>44941</v>
      </c>
      <c r="J588" t="s">
        <v>6</v>
      </c>
    </row>
    <row r="589" spans="1:10" x14ac:dyDescent="0.25">
      <c r="A589" t="s">
        <v>34</v>
      </c>
      <c r="B589" t="s">
        <v>21</v>
      </c>
      <c r="C589" t="s">
        <v>64</v>
      </c>
      <c r="D589" s="2">
        <v>50</v>
      </c>
      <c r="E589" s="2">
        <v>70</v>
      </c>
      <c r="F589">
        <v>0</v>
      </c>
      <c r="G589">
        <v>0</v>
      </c>
      <c r="H589">
        <f t="shared" si="2"/>
        <v>0</v>
      </c>
      <c r="I589" s="1">
        <v>44941</v>
      </c>
      <c r="J589" t="s">
        <v>6</v>
      </c>
    </row>
    <row r="590" spans="1:10" x14ac:dyDescent="0.25">
      <c r="A590" t="s">
        <v>18</v>
      </c>
      <c r="B590" t="s">
        <v>21</v>
      </c>
      <c r="C590" t="s">
        <v>65</v>
      </c>
      <c r="D590" s="2">
        <v>20</v>
      </c>
      <c r="E590" s="2">
        <v>30</v>
      </c>
      <c r="F590">
        <v>13</v>
      </c>
      <c r="G590">
        <v>13</v>
      </c>
      <c r="H590">
        <f t="shared" si="2"/>
        <v>0</v>
      </c>
      <c r="I590" s="1">
        <v>44941</v>
      </c>
      <c r="J590" t="s">
        <v>6</v>
      </c>
    </row>
    <row r="591" spans="1:10" x14ac:dyDescent="0.25">
      <c r="A591" t="s">
        <v>19</v>
      </c>
      <c r="B591" t="s">
        <v>21</v>
      </c>
      <c r="C591" t="s">
        <v>66</v>
      </c>
      <c r="D591" s="2">
        <v>10</v>
      </c>
      <c r="E591" s="2">
        <v>20</v>
      </c>
      <c r="F591">
        <v>8</v>
      </c>
      <c r="G591">
        <v>8</v>
      </c>
      <c r="H591">
        <f t="shared" si="2"/>
        <v>0</v>
      </c>
      <c r="I591" s="1">
        <v>44941</v>
      </c>
      <c r="J591" t="s">
        <v>6</v>
      </c>
    </row>
    <row r="592" spans="1:10" x14ac:dyDescent="0.25">
      <c r="A592" t="s">
        <v>20</v>
      </c>
      <c r="B592" t="s">
        <v>21</v>
      </c>
      <c r="C592" t="s">
        <v>67</v>
      </c>
      <c r="D592" s="2">
        <v>60</v>
      </c>
      <c r="E592" s="2">
        <v>100</v>
      </c>
      <c r="F592">
        <v>4</v>
      </c>
      <c r="G592">
        <v>3</v>
      </c>
      <c r="H592">
        <f t="shared" si="2"/>
        <v>1</v>
      </c>
      <c r="I592" s="1">
        <v>44941</v>
      </c>
      <c r="J592" t="s">
        <v>6</v>
      </c>
    </row>
    <row r="593" spans="1:10" x14ac:dyDescent="0.25">
      <c r="A593" t="s">
        <v>22</v>
      </c>
      <c r="B593" t="s">
        <v>24</v>
      </c>
      <c r="C593" t="s">
        <v>68</v>
      </c>
      <c r="D593" s="2">
        <v>50</v>
      </c>
      <c r="E593" s="2">
        <v>70</v>
      </c>
      <c r="F593">
        <v>2</v>
      </c>
      <c r="G593">
        <v>2</v>
      </c>
      <c r="H593">
        <f t="shared" si="2"/>
        <v>0</v>
      </c>
      <c r="I593" s="1">
        <v>44941</v>
      </c>
      <c r="J593" t="s">
        <v>6</v>
      </c>
    </row>
    <row r="594" spans="1:10" x14ac:dyDescent="0.25">
      <c r="A594" t="s">
        <v>25</v>
      </c>
      <c r="B594" t="s">
        <v>24</v>
      </c>
      <c r="C594" t="s">
        <v>69</v>
      </c>
      <c r="D594" s="2">
        <v>45</v>
      </c>
      <c r="E594" s="2">
        <v>65</v>
      </c>
      <c r="F594">
        <v>0</v>
      </c>
      <c r="G594">
        <v>0</v>
      </c>
      <c r="H594">
        <f t="shared" si="2"/>
        <v>0</v>
      </c>
      <c r="I594" s="1">
        <v>44941</v>
      </c>
      <c r="J594" t="s">
        <v>6</v>
      </c>
    </row>
    <row r="595" spans="1:10" x14ac:dyDescent="0.25">
      <c r="A595" t="s">
        <v>26</v>
      </c>
      <c r="B595" t="s">
        <v>24</v>
      </c>
      <c r="C595" t="s">
        <v>70</v>
      </c>
      <c r="D595" s="2">
        <v>50</v>
      </c>
      <c r="E595" s="2">
        <v>70</v>
      </c>
      <c r="F595">
        <v>0</v>
      </c>
      <c r="G595">
        <v>0</v>
      </c>
      <c r="H595">
        <f t="shared" si="2"/>
        <v>0</v>
      </c>
      <c r="I595" s="1">
        <v>44941</v>
      </c>
      <c r="J595" t="s">
        <v>6</v>
      </c>
    </row>
    <row r="596" spans="1:10" x14ac:dyDescent="0.25">
      <c r="A596" t="s">
        <v>27</v>
      </c>
      <c r="B596" t="s">
        <v>24</v>
      </c>
      <c r="C596" t="s">
        <v>71</v>
      </c>
      <c r="D596" s="2">
        <v>10</v>
      </c>
      <c r="E596" s="2">
        <v>15</v>
      </c>
      <c r="F596">
        <v>8</v>
      </c>
      <c r="G596">
        <v>8</v>
      </c>
      <c r="H596">
        <f t="shared" si="2"/>
        <v>0</v>
      </c>
      <c r="I596" s="1">
        <v>44941</v>
      </c>
      <c r="J596" t="s">
        <v>6</v>
      </c>
    </row>
    <row r="597" spans="1:10" x14ac:dyDescent="0.25">
      <c r="A597" t="s">
        <v>28</v>
      </c>
      <c r="B597" t="s">
        <v>24</v>
      </c>
      <c r="C597" t="s">
        <v>72</v>
      </c>
      <c r="D597" s="2">
        <v>20</v>
      </c>
      <c r="E597" s="2">
        <v>25</v>
      </c>
      <c r="F597">
        <v>9</v>
      </c>
      <c r="G597">
        <v>7</v>
      </c>
      <c r="H597">
        <f t="shared" si="2"/>
        <v>2</v>
      </c>
      <c r="I597" s="1">
        <v>44941</v>
      </c>
      <c r="J597" t="s">
        <v>6</v>
      </c>
    </row>
    <row r="598" spans="1:10" x14ac:dyDescent="0.25">
      <c r="A598" t="s">
        <v>29</v>
      </c>
      <c r="B598" t="s">
        <v>30</v>
      </c>
      <c r="C598" t="s">
        <v>73</v>
      </c>
      <c r="D598" s="2">
        <v>25</v>
      </c>
      <c r="E598" s="2">
        <v>30</v>
      </c>
      <c r="F598">
        <v>8</v>
      </c>
      <c r="G598">
        <v>8</v>
      </c>
      <c r="H598">
        <f t="shared" si="2"/>
        <v>0</v>
      </c>
      <c r="I598" s="1">
        <v>44941</v>
      </c>
      <c r="J598" t="s">
        <v>6</v>
      </c>
    </row>
    <row r="599" spans="1:10" x14ac:dyDescent="0.25">
      <c r="A599" t="s">
        <v>31</v>
      </c>
      <c r="B599" t="s">
        <v>30</v>
      </c>
      <c r="C599" t="s">
        <v>74</v>
      </c>
      <c r="D599" s="2">
        <v>25</v>
      </c>
      <c r="E599" s="2">
        <v>30</v>
      </c>
      <c r="F599">
        <v>6</v>
      </c>
      <c r="G599">
        <v>6</v>
      </c>
      <c r="H599">
        <f t="shared" si="2"/>
        <v>0</v>
      </c>
      <c r="I599" s="1">
        <v>44941</v>
      </c>
      <c r="J599" t="s">
        <v>6</v>
      </c>
    </row>
    <row r="600" spans="1:10" x14ac:dyDescent="0.25">
      <c r="A600" t="s">
        <v>32</v>
      </c>
      <c r="B600" t="s">
        <v>30</v>
      </c>
      <c r="C600" t="s">
        <v>75</v>
      </c>
      <c r="D600" s="2">
        <v>25</v>
      </c>
      <c r="E600" s="2">
        <v>30</v>
      </c>
      <c r="F600">
        <v>4</v>
      </c>
      <c r="G600">
        <v>4</v>
      </c>
      <c r="H600">
        <f t="shared" si="2"/>
        <v>0</v>
      </c>
      <c r="I600" s="1">
        <v>44941</v>
      </c>
      <c r="J600" t="s">
        <v>6</v>
      </c>
    </row>
    <row r="601" spans="1:10" x14ac:dyDescent="0.25">
      <c r="A601" t="s">
        <v>33</v>
      </c>
      <c r="B601" t="s">
        <v>30</v>
      </c>
      <c r="C601" t="s">
        <v>76</v>
      </c>
      <c r="D601" s="2">
        <v>30</v>
      </c>
      <c r="E601" s="2">
        <v>35</v>
      </c>
      <c r="F601">
        <v>8</v>
      </c>
      <c r="G601">
        <v>5</v>
      </c>
      <c r="H601">
        <f t="shared" si="2"/>
        <v>3</v>
      </c>
      <c r="I601" s="1">
        <v>44941</v>
      </c>
      <c r="J601" t="s">
        <v>6</v>
      </c>
    </row>
    <row r="602" spans="1:10" x14ac:dyDescent="0.25">
      <c r="A602" t="s">
        <v>2</v>
      </c>
      <c r="B602" t="s">
        <v>3</v>
      </c>
      <c r="C602" t="s">
        <v>48</v>
      </c>
      <c r="D602" s="2">
        <v>100</v>
      </c>
      <c r="E602" s="2">
        <v>200</v>
      </c>
      <c r="F602">
        <v>4</v>
      </c>
      <c r="G602">
        <v>1</v>
      </c>
      <c r="H602">
        <f t="shared" si="2"/>
        <v>3</v>
      </c>
      <c r="I602" s="1">
        <v>44942</v>
      </c>
      <c r="J602" t="s">
        <v>10</v>
      </c>
    </row>
    <row r="603" spans="1:10" x14ac:dyDescent="0.25">
      <c r="A603" t="s">
        <v>7</v>
      </c>
      <c r="B603" t="s">
        <v>3</v>
      </c>
      <c r="C603" t="s">
        <v>77</v>
      </c>
      <c r="D603" s="2">
        <v>200</v>
      </c>
      <c r="E603" s="2">
        <v>300</v>
      </c>
      <c r="F603">
        <v>2</v>
      </c>
      <c r="G603">
        <v>1</v>
      </c>
      <c r="H603">
        <f t="shared" si="2"/>
        <v>1</v>
      </c>
      <c r="I603" s="1">
        <v>44942</v>
      </c>
      <c r="J603" t="s">
        <v>10</v>
      </c>
    </row>
    <row r="604" spans="1:10" x14ac:dyDescent="0.25">
      <c r="A604" t="s">
        <v>23</v>
      </c>
      <c r="B604" t="s">
        <v>3</v>
      </c>
      <c r="C604" t="s">
        <v>52</v>
      </c>
      <c r="D604" s="2">
        <v>150</v>
      </c>
      <c r="E604" s="2">
        <v>250</v>
      </c>
      <c r="F604">
        <v>2</v>
      </c>
      <c r="G604">
        <v>1</v>
      </c>
      <c r="H604">
        <f t="shared" si="2"/>
        <v>1</v>
      </c>
      <c r="I604" s="1">
        <v>44942</v>
      </c>
      <c r="J604" t="s">
        <v>10</v>
      </c>
    </row>
    <row r="605" spans="1:10" x14ac:dyDescent="0.25">
      <c r="A605" t="s">
        <v>9</v>
      </c>
      <c r="B605" t="s">
        <v>3</v>
      </c>
      <c r="C605" t="s">
        <v>53</v>
      </c>
      <c r="D605" s="2">
        <v>100</v>
      </c>
      <c r="E605" s="2">
        <v>200</v>
      </c>
      <c r="F605">
        <v>1</v>
      </c>
      <c r="G605">
        <v>1</v>
      </c>
      <c r="H605">
        <f t="shared" si="2"/>
        <v>0</v>
      </c>
      <c r="I605" s="1">
        <v>44942</v>
      </c>
      <c r="J605" t="s">
        <v>10</v>
      </c>
    </row>
    <row r="606" spans="1:10" x14ac:dyDescent="0.25">
      <c r="A606" t="s">
        <v>2</v>
      </c>
      <c r="B606" t="s">
        <v>12</v>
      </c>
      <c r="C606" t="s">
        <v>49</v>
      </c>
      <c r="D606" s="2">
        <v>250</v>
      </c>
      <c r="E606" s="2">
        <v>350</v>
      </c>
      <c r="F606">
        <v>2</v>
      </c>
      <c r="G606">
        <v>1</v>
      </c>
      <c r="H606">
        <f t="shared" si="2"/>
        <v>1</v>
      </c>
      <c r="I606" s="1">
        <v>44942</v>
      </c>
      <c r="J606" t="s">
        <v>10</v>
      </c>
    </row>
    <row r="607" spans="1:10" x14ac:dyDescent="0.25">
      <c r="A607" t="s">
        <v>7</v>
      </c>
      <c r="B607" t="s">
        <v>12</v>
      </c>
      <c r="C607" t="s">
        <v>54</v>
      </c>
      <c r="D607" s="2">
        <v>300</v>
      </c>
      <c r="E607" s="2">
        <v>400</v>
      </c>
      <c r="F607">
        <v>1</v>
      </c>
      <c r="G607">
        <v>0</v>
      </c>
      <c r="H607">
        <f t="shared" si="2"/>
        <v>1</v>
      </c>
      <c r="I607" s="1">
        <v>44942</v>
      </c>
      <c r="J607" t="s">
        <v>10</v>
      </c>
    </row>
    <row r="608" spans="1:10" x14ac:dyDescent="0.25">
      <c r="A608" t="s">
        <v>8</v>
      </c>
      <c r="B608" t="s">
        <v>12</v>
      </c>
      <c r="C608" t="s">
        <v>55</v>
      </c>
      <c r="D608" s="2">
        <v>250</v>
      </c>
      <c r="E608" s="2">
        <v>350</v>
      </c>
      <c r="F608">
        <v>2</v>
      </c>
      <c r="G608">
        <v>2</v>
      </c>
      <c r="H608">
        <f t="shared" si="2"/>
        <v>0</v>
      </c>
      <c r="I608" s="1">
        <v>44942</v>
      </c>
      <c r="J608" t="s">
        <v>10</v>
      </c>
    </row>
    <row r="609" spans="1:10" x14ac:dyDescent="0.25">
      <c r="A609" t="s">
        <v>9</v>
      </c>
      <c r="B609" t="s">
        <v>12</v>
      </c>
      <c r="C609" t="s">
        <v>56</v>
      </c>
      <c r="D609" s="2">
        <v>250</v>
      </c>
      <c r="E609" s="2">
        <v>350</v>
      </c>
      <c r="F609">
        <v>2</v>
      </c>
      <c r="G609">
        <v>1</v>
      </c>
      <c r="H609">
        <f t="shared" si="2"/>
        <v>1</v>
      </c>
      <c r="I609" s="1">
        <v>44942</v>
      </c>
      <c r="J609" t="s">
        <v>10</v>
      </c>
    </row>
    <row r="610" spans="1:10" x14ac:dyDescent="0.25">
      <c r="A610" t="s">
        <v>13</v>
      </c>
      <c r="B610" t="s">
        <v>12</v>
      </c>
      <c r="C610" t="s">
        <v>57</v>
      </c>
      <c r="D610" s="2">
        <v>300</v>
      </c>
      <c r="E610" s="2">
        <v>450</v>
      </c>
      <c r="F610">
        <v>0</v>
      </c>
      <c r="G610">
        <v>0</v>
      </c>
      <c r="H610">
        <f t="shared" si="2"/>
        <v>0</v>
      </c>
      <c r="I610" s="1">
        <v>44942</v>
      </c>
      <c r="J610" t="s">
        <v>10</v>
      </c>
    </row>
    <row r="611" spans="1:10" x14ac:dyDescent="0.25">
      <c r="A611" t="s">
        <v>14</v>
      </c>
      <c r="B611" t="s">
        <v>16</v>
      </c>
      <c r="C611" t="s">
        <v>50</v>
      </c>
      <c r="D611" s="2">
        <v>320</v>
      </c>
      <c r="E611" s="2">
        <v>400</v>
      </c>
      <c r="F611">
        <v>0</v>
      </c>
      <c r="G611">
        <v>0</v>
      </c>
      <c r="H611">
        <f t="shared" si="2"/>
        <v>0</v>
      </c>
      <c r="I611" s="1">
        <v>44942</v>
      </c>
      <c r="J611" t="s">
        <v>10</v>
      </c>
    </row>
    <row r="612" spans="1:10" x14ac:dyDescent="0.25">
      <c r="A612" t="s">
        <v>15</v>
      </c>
      <c r="B612" t="s">
        <v>16</v>
      </c>
      <c r="C612" t="s">
        <v>58</v>
      </c>
      <c r="D612" s="2">
        <v>100</v>
      </c>
      <c r="E612" s="2">
        <v>150</v>
      </c>
      <c r="F612">
        <v>3</v>
      </c>
      <c r="G612">
        <v>3</v>
      </c>
      <c r="H612">
        <f t="shared" si="2"/>
        <v>0</v>
      </c>
      <c r="I612" s="1">
        <v>44942</v>
      </c>
      <c r="J612" t="s">
        <v>10</v>
      </c>
    </row>
    <row r="613" spans="1:10" x14ac:dyDescent="0.25">
      <c r="A613" t="s">
        <v>2</v>
      </c>
      <c r="B613" t="s">
        <v>21</v>
      </c>
      <c r="C613" t="s">
        <v>51</v>
      </c>
      <c r="D613" s="2">
        <v>25</v>
      </c>
      <c r="E613" s="2">
        <v>40</v>
      </c>
      <c r="F613">
        <v>11</v>
      </c>
      <c r="G613">
        <v>3</v>
      </c>
      <c r="H613">
        <f t="shared" si="2"/>
        <v>8</v>
      </c>
      <c r="I613" s="1">
        <v>44942</v>
      </c>
      <c r="J613" t="s">
        <v>10</v>
      </c>
    </row>
    <row r="614" spans="1:10" x14ac:dyDescent="0.25">
      <c r="A614" t="s">
        <v>7</v>
      </c>
      <c r="B614" t="s">
        <v>21</v>
      </c>
      <c r="C614" t="s">
        <v>59</v>
      </c>
      <c r="D614" s="2">
        <v>30</v>
      </c>
      <c r="E614" s="2">
        <v>50</v>
      </c>
      <c r="F614">
        <v>11</v>
      </c>
      <c r="G614">
        <v>5</v>
      </c>
      <c r="H614">
        <f t="shared" si="2"/>
        <v>6</v>
      </c>
      <c r="I614" s="1">
        <v>44942</v>
      </c>
      <c r="J614" t="s">
        <v>10</v>
      </c>
    </row>
    <row r="615" spans="1:10" x14ac:dyDescent="0.25">
      <c r="A615" t="s">
        <v>9</v>
      </c>
      <c r="B615" t="s">
        <v>21</v>
      </c>
      <c r="C615" t="s">
        <v>60</v>
      </c>
      <c r="D615" s="2">
        <v>25</v>
      </c>
      <c r="E615" s="2">
        <v>40</v>
      </c>
      <c r="F615">
        <v>8</v>
      </c>
      <c r="G615">
        <v>4</v>
      </c>
      <c r="H615">
        <f t="shared" si="2"/>
        <v>4</v>
      </c>
      <c r="I615" s="1">
        <v>44942</v>
      </c>
      <c r="J615" t="s">
        <v>10</v>
      </c>
    </row>
    <row r="616" spans="1:10" x14ac:dyDescent="0.25">
      <c r="A616" t="s">
        <v>23</v>
      </c>
      <c r="B616" t="s">
        <v>21</v>
      </c>
      <c r="C616" t="s">
        <v>61</v>
      </c>
      <c r="D616" s="2">
        <v>25</v>
      </c>
      <c r="E616" s="2">
        <v>40</v>
      </c>
      <c r="F616">
        <v>2</v>
      </c>
      <c r="G616">
        <v>0</v>
      </c>
      <c r="H616">
        <f t="shared" si="2"/>
        <v>2</v>
      </c>
      <c r="I616" s="1">
        <v>44942</v>
      </c>
      <c r="J616" t="s">
        <v>10</v>
      </c>
    </row>
    <row r="617" spans="1:10" x14ac:dyDescent="0.25">
      <c r="A617" t="s">
        <v>13</v>
      </c>
      <c r="B617" t="s">
        <v>21</v>
      </c>
      <c r="C617" t="s">
        <v>62</v>
      </c>
      <c r="D617" s="2">
        <v>30</v>
      </c>
      <c r="E617" s="2">
        <v>55</v>
      </c>
      <c r="F617">
        <v>4</v>
      </c>
      <c r="G617">
        <v>4</v>
      </c>
      <c r="H617">
        <f t="shared" si="2"/>
        <v>0</v>
      </c>
      <c r="I617" s="1">
        <v>44942</v>
      </c>
      <c r="J617" t="s">
        <v>10</v>
      </c>
    </row>
    <row r="618" spans="1:10" x14ac:dyDescent="0.25">
      <c r="A618" t="s">
        <v>17</v>
      </c>
      <c r="B618" t="s">
        <v>21</v>
      </c>
      <c r="C618" t="s">
        <v>63</v>
      </c>
      <c r="D618" s="2">
        <v>40</v>
      </c>
      <c r="E618" s="2">
        <v>65</v>
      </c>
      <c r="F618">
        <v>4</v>
      </c>
      <c r="G618">
        <v>2</v>
      </c>
      <c r="H618">
        <f t="shared" si="2"/>
        <v>2</v>
      </c>
      <c r="I618" s="1">
        <v>44942</v>
      </c>
      <c r="J618" t="s">
        <v>10</v>
      </c>
    </row>
    <row r="619" spans="1:10" x14ac:dyDescent="0.25">
      <c r="A619" t="s">
        <v>34</v>
      </c>
      <c r="B619" t="s">
        <v>21</v>
      </c>
      <c r="C619" t="s">
        <v>64</v>
      </c>
      <c r="D619" s="2">
        <v>50</v>
      </c>
      <c r="E619" s="2">
        <v>70</v>
      </c>
      <c r="F619">
        <v>0</v>
      </c>
      <c r="G619">
        <v>0</v>
      </c>
      <c r="H619">
        <f t="shared" si="2"/>
        <v>0</v>
      </c>
      <c r="I619" s="1">
        <v>44942</v>
      </c>
      <c r="J619" t="s">
        <v>10</v>
      </c>
    </row>
    <row r="620" spans="1:10" x14ac:dyDescent="0.25">
      <c r="A620" t="s">
        <v>18</v>
      </c>
      <c r="B620" t="s">
        <v>21</v>
      </c>
      <c r="C620" t="s">
        <v>65</v>
      </c>
      <c r="D620" s="2">
        <v>20</v>
      </c>
      <c r="E620" s="2">
        <v>30</v>
      </c>
      <c r="F620">
        <v>13</v>
      </c>
      <c r="G620">
        <v>11</v>
      </c>
      <c r="H620">
        <f t="shared" si="2"/>
        <v>2</v>
      </c>
      <c r="I620" s="1">
        <v>44942</v>
      </c>
      <c r="J620" t="s">
        <v>10</v>
      </c>
    </row>
    <row r="621" spans="1:10" x14ac:dyDescent="0.25">
      <c r="A621" t="s">
        <v>19</v>
      </c>
      <c r="B621" t="s">
        <v>21</v>
      </c>
      <c r="C621" t="s">
        <v>66</v>
      </c>
      <c r="D621" s="2">
        <v>10</v>
      </c>
      <c r="E621" s="2">
        <v>20</v>
      </c>
      <c r="F621">
        <v>8</v>
      </c>
      <c r="G621">
        <v>7</v>
      </c>
      <c r="H621">
        <f t="shared" si="2"/>
        <v>1</v>
      </c>
      <c r="I621" s="1">
        <v>44942</v>
      </c>
      <c r="J621" t="s">
        <v>10</v>
      </c>
    </row>
    <row r="622" spans="1:10" x14ac:dyDescent="0.25">
      <c r="A622" t="s">
        <v>20</v>
      </c>
      <c r="B622" t="s">
        <v>21</v>
      </c>
      <c r="C622" t="s">
        <v>67</v>
      </c>
      <c r="D622" s="2">
        <v>60</v>
      </c>
      <c r="E622" s="2">
        <v>100</v>
      </c>
      <c r="F622">
        <v>3</v>
      </c>
      <c r="G622">
        <v>3</v>
      </c>
      <c r="H622">
        <f t="shared" si="2"/>
        <v>0</v>
      </c>
      <c r="I622" s="1">
        <v>44942</v>
      </c>
      <c r="J622" t="s">
        <v>10</v>
      </c>
    </row>
    <row r="623" spans="1:10" x14ac:dyDescent="0.25">
      <c r="A623" t="s">
        <v>22</v>
      </c>
      <c r="B623" t="s">
        <v>24</v>
      </c>
      <c r="C623" t="s">
        <v>68</v>
      </c>
      <c r="D623" s="2">
        <v>50</v>
      </c>
      <c r="E623" s="2">
        <v>70</v>
      </c>
      <c r="F623">
        <v>2</v>
      </c>
      <c r="G623">
        <v>2</v>
      </c>
      <c r="H623">
        <f t="shared" si="2"/>
        <v>0</v>
      </c>
      <c r="I623" s="1">
        <v>44942</v>
      </c>
      <c r="J623" t="s">
        <v>10</v>
      </c>
    </row>
    <row r="624" spans="1:10" x14ac:dyDescent="0.25">
      <c r="A624" t="s">
        <v>25</v>
      </c>
      <c r="B624" t="s">
        <v>24</v>
      </c>
      <c r="C624" t="s">
        <v>69</v>
      </c>
      <c r="D624" s="2">
        <v>45</v>
      </c>
      <c r="E624" s="2">
        <v>65</v>
      </c>
      <c r="F624">
        <v>0</v>
      </c>
      <c r="G624">
        <v>0</v>
      </c>
      <c r="H624">
        <f t="shared" si="2"/>
        <v>0</v>
      </c>
      <c r="I624" s="1">
        <v>44942</v>
      </c>
      <c r="J624" t="s">
        <v>10</v>
      </c>
    </row>
    <row r="625" spans="1:10" x14ac:dyDescent="0.25">
      <c r="A625" t="s">
        <v>26</v>
      </c>
      <c r="B625" t="s">
        <v>24</v>
      </c>
      <c r="C625" t="s">
        <v>70</v>
      </c>
      <c r="D625" s="2">
        <v>50</v>
      </c>
      <c r="E625" s="2">
        <v>70</v>
      </c>
      <c r="F625">
        <v>0</v>
      </c>
      <c r="G625">
        <v>0</v>
      </c>
      <c r="H625">
        <f t="shared" si="2"/>
        <v>0</v>
      </c>
      <c r="I625" s="1">
        <v>44942</v>
      </c>
      <c r="J625" t="s">
        <v>10</v>
      </c>
    </row>
    <row r="626" spans="1:10" x14ac:dyDescent="0.25">
      <c r="A626" t="s">
        <v>27</v>
      </c>
      <c r="B626" t="s">
        <v>24</v>
      </c>
      <c r="C626" t="s">
        <v>71</v>
      </c>
      <c r="D626" s="2">
        <v>10</v>
      </c>
      <c r="E626" s="2">
        <v>15</v>
      </c>
      <c r="F626">
        <v>6</v>
      </c>
      <c r="G626">
        <v>0</v>
      </c>
      <c r="H626">
        <f t="shared" si="2"/>
        <v>6</v>
      </c>
      <c r="I626" s="1">
        <v>44942</v>
      </c>
      <c r="J626" t="s">
        <v>10</v>
      </c>
    </row>
    <row r="627" spans="1:10" x14ac:dyDescent="0.25">
      <c r="A627" t="s">
        <v>28</v>
      </c>
      <c r="B627" t="s">
        <v>24</v>
      </c>
      <c r="C627" t="s">
        <v>72</v>
      </c>
      <c r="D627" s="2">
        <v>20</v>
      </c>
      <c r="E627" s="2">
        <v>25</v>
      </c>
      <c r="F627">
        <v>7</v>
      </c>
      <c r="G627">
        <v>6</v>
      </c>
      <c r="H627">
        <f t="shared" si="2"/>
        <v>1</v>
      </c>
      <c r="I627" s="1">
        <v>44942</v>
      </c>
      <c r="J627" t="s">
        <v>10</v>
      </c>
    </row>
    <row r="628" spans="1:10" x14ac:dyDescent="0.25">
      <c r="A628" t="s">
        <v>29</v>
      </c>
      <c r="B628" t="s">
        <v>30</v>
      </c>
      <c r="C628" t="s">
        <v>73</v>
      </c>
      <c r="D628" s="2">
        <v>25</v>
      </c>
      <c r="E628" s="2">
        <v>30</v>
      </c>
      <c r="F628">
        <v>8</v>
      </c>
      <c r="G628">
        <v>7</v>
      </c>
      <c r="H628">
        <f t="shared" si="2"/>
        <v>1</v>
      </c>
      <c r="I628" s="1">
        <v>44942</v>
      </c>
      <c r="J628" t="s">
        <v>10</v>
      </c>
    </row>
    <row r="629" spans="1:10" x14ac:dyDescent="0.25">
      <c r="A629" t="s">
        <v>31</v>
      </c>
      <c r="B629" t="s">
        <v>30</v>
      </c>
      <c r="C629" t="s">
        <v>74</v>
      </c>
      <c r="D629" s="2">
        <v>25</v>
      </c>
      <c r="E629" s="2">
        <v>30</v>
      </c>
      <c r="F629">
        <v>6</v>
      </c>
      <c r="G629">
        <v>3</v>
      </c>
      <c r="H629">
        <f t="shared" si="2"/>
        <v>3</v>
      </c>
      <c r="I629" s="1">
        <v>44942</v>
      </c>
      <c r="J629" t="s">
        <v>10</v>
      </c>
    </row>
    <row r="630" spans="1:10" x14ac:dyDescent="0.25">
      <c r="A630" t="s">
        <v>32</v>
      </c>
      <c r="B630" t="s">
        <v>30</v>
      </c>
      <c r="C630" t="s">
        <v>75</v>
      </c>
      <c r="D630" s="2">
        <v>25</v>
      </c>
      <c r="E630" s="2">
        <v>30</v>
      </c>
      <c r="F630">
        <v>4</v>
      </c>
      <c r="G630">
        <v>3</v>
      </c>
      <c r="H630">
        <f t="shared" si="2"/>
        <v>1</v>
      </c>
      <c r="I630" s="1">
        <v>44942</v>
      </c>
      <c r="J630" t="s">
        <v>10</v>
      </c>
    </row>
    <row r="631" spans="1:10" x14ac:dyDescent="0.25">
      <c r="A631" t="s">
        <v>33</v>
      </c>
      <c r="B631" t="s">
        <v>30</v>
      </c>
      <c r="C631" t="s">
        <v>76</v>
      </c>
      <c r="D631" s="2">
        <v>30</v>
      </c>
      <c r="E631" s="2">
        <v>35</v>
      </c>
      <c r="F631">
        <v>5</v>
      </c>
      <c r="G631">
        <v>3</v>
      </c>
      <c r="H631">
        <f t="shared" si="2"/>
        <v>2</v>
      </c>
      <c r="I631" s="1">
        <v>44942</v>
      </c>
      <c r="J631" t="s">
        <v>10</v>
      </c>
    </row>
    <row r="632" spans="1:10" x14ac:dyDescent="0.25">
      <c r="A632" t="s">
        <v>2</v>
      </c>
      <c r="B632" t="s">
        <v>3</v>
      </c>
      <c r="C632" t="s">
        <v>48</v>
      </c>
      <c r="D632" s="2">
        <v>100</v>
      </c>
      <c r="E632" s="2">
        <v>200</v>
      </c>
      <c r="F632">
        <v>3</v>
      </c>
      <c r="G632">
        <v>2</v>
      </c>
      <c r="H632">
        <f t="shared" si="2"/>
        <v>1</v>
      </c>
      <c r="I632" s="1">
        <v>44944</v>
      </c>
      <c r="J632" t="s">
        <v>35</v>
      </c>
    </row>
    <row r="633" spans="1:10" x14ac:dyDescent="0.25">
      <c r="A633" t="s">
        <v>7</v>
      </c>
      <c r="B633" t="s">
        <v>3</v>
      </c>
      <c r="C633" t="s">
        <v>77</v>
      </c>
      <c r="D633" s="2">
        <v>200</v>
      </c>
      <c r="E633" s="2">
        <v>300</v>
      </c>
      <c r="F633">
        <v>3</v>
      </c>
      <c r="G633">
        <v>1</v>
      </c>
      <c r="H633">
        <f t="shared" si="2"/>
        <v>2</v>
      </c>
      <c r="I633" s="1">
        <v>44944</v>
      </c>
      <c r="J633" t="s">
        <v>35</v>
      </c>
    </row>
    <row r="634" spans="1:10" x14ac:dyDescent="0.25">
      <c r="A634" t="s">
        <v>23</v>
      </c>
      <c r="B634" t="s">
        <v>3</v>
      </c>
      <c r="C634" t="s">
        <v>52</v>
      </c>
      <c r="D634" s="2">
        <v>150</v>
      </c>
      <c r="E634" s="2">
        <v>250</v>
      </c>
      <c r="F634">
        <v>3</v>
      </c>
      <c r="G634">
        <v>1</v>
      </c>
      <c r="H634">
        <f t="shared" si="2"/>
        <v>2</v>
      </c>
      <c r="I634" s="1">
        <v>44944</v>
      </c>
      <c r="J634" t="s">
        <v>35</v>
      </c>
    </row>
    <row r="635" spans="1:10" x14ac:dyDescent="0.25">
      <c r="A635" t="s">
        <v>9</v>
      </c>
      <c r="B635" t="s">
        <v>3</v>
      </c>
      <c r="C635" t="s">
        <v>53</v>
      </c>
      <c r="D635" s="2">
        <v>100</v>
      </c>
      <c r="E635" s="2">
        <v>200</v>
      </c>
      <c r="F635">
        <v>3</v>
      </c>
      <c r="G635">
        <v>2</v>
      </c>
      <c r="H635">
        <f t="shared" si="2"/>
        <v>1</v>
      </c>
      <c r="I635" s="1">
        <v>44944</v>
      </c>
      <c r="J635" t="s">
        <v>35</v>
      </c>
    </row>
    <row r="636" spans="1:10" x14ac:dyDescent="0.25">
      <c r="A636" t="s">
        <v>2</v>
      </c>
      <c r="B636" t="s">
        <v>12</v>
      </c>
      <c r="C636" t="s">
        <v>49</v>
      </c>
      <c r="D636" s="2">
        <v>250</v>
      </c>
      <c r="E636" s="2">
        <v>350</v>
      </c>
      <c r="F636">
        <v>2</v>
      </c>
      <c r="G636">
        <v>1</v>
      </c>
      <c r="H636">
        <f t="shared" si="2"/>
        <v>1</v>
      </c>
      <c r="I636" s="1">
        <v>44944</v>
      </c>
      <c r="J636" t="s">
        <v>35</v>
      </c>
    </row>
    <row r="637" spans="1:10" x14ac:dyDescent="0.25">
      <c r="A637" t="s">
        <v>7</v>
      </c>
      <c r="B637" t="s">
        <v>12</v>
      </c>
      <c r="C637" t="s">
        <v>54</v>
      </c>
      <c r="D637" s="2">
        <v>300</v>
      </c>
      <c r="E637" s="2">
        <v>400</v>
      </c>
      <c r="F637">
        <v>1</v>
      </c>
      <c r="G637">
        <v>1</v>
      </c>
      <c r="H637">
        <f t="shared" si="2"/>
        <v>0</v>
      </c>
      <c r="I637" s="1">
        <v>44944</v>
      </c>
      <c r="J637" t="s">
        <v>35</v>
      </c>
    </row>
    <row r="638" spans="1:10" x14ac:dyDescent="0.25">
      <c r="A638" t="s">
        <v>8</v>
      </c>
      <c r="B638" t="s">
        <v>12</v>
      </c>
      <c r="C638" t="s">
        <v>55</v>
      </c>
      <c r="D638" s="2">
        <v>250</v>
      </c>
      <c r="E638" s="2">
        <v>350</v>
      </c>
      <c r="F638">
        <v>2</v>
      </c>
      <c r="G638">
        <v>2</v>
      </c>
      <c r="H638">
        <f t="shared" si="2"/>
        <v>0</v>
      </c>
      <c r="I638" s="1">
        <v>44944</v>
      </c>
      <c r="J638" t="s">
        <v>35</v>
      </c>
    </row>
    <row r="639" spans="1:10" x14ac:dyDescent="0.25">
      <c r="A639" t="s">
        <v>9</v>
      </c>
      <c r="B639" t="s">
        <v>12</v>
      </c>
      <c r="C639" t="s">
        <v>56</v>
      </c>
      <c r="D639" s="2">
        <v>250</v>
      </c>
      <c r="E639" s="2">
        <v>350</v>
      </c>
      <c r="F639">
        <v>2</v>
      </c>
      <c r="G639">
        <v>1</v>
      </c>
      <c r="H639">
        <f t="shared" si="2"/>
        <v>1</v>
      </c>
      <c r="I639" s="1">
        <v>44944</v>
      </c>
      <c r="J639" t="s">
        <v>35</v>
      </c>
    </row>
    <row r="640" spans="1:10" x14ac:dyDescent="0.25">
      <c r="A640" t="s">
        <v>13</v>
      </c>
      <c r="B640" t="s">
        <v>12</v>
      </c>
      <c r="C640" t="s">
        <v>57</v>
      </c>
      <c r="D640" s="2">
        <v>300</v>
      </c>
      <c r="E640" s="2">
        <v>450</v>
      </c>
      <c r="F640">
        <v>1</v>
      </c>
      <c r="G640">
        <v>1</v>
      </c>
      <c r="H640">
        <f t="shared" si="2"/>
        <v>0</v>
      </c>
      <c r="I640" s="1">
        <v>44944</v>
      </c>
      <c r="J640" t="s">
        <v>35</v>
      </c>
    </row>
    <row r="641" spans="1:10" x14ac:dyDescent="0.25">
      <c r="A641" t="s">
        <v>14</v>
      </c>
      <c r="B641" t="s">
        <v>16</v>
      </c>
      <c r="C641" t="s">
        <v>50</v>
      </c>
      <c r="D641" s="2">
        <v>320</v>
      </c>
      <c r="E641" s="2">
        <v>400</v>
      </c>
      <c r="F641">
        <v>0</v>
      </c>
      <c r="G641">
        <v>0</v>
      </c>
      <c r="H641">
        <f t="shared" si="2"/>
        <v>0</v>
      </c>
      <c r="I641" s="1">
        <v>44944</v>
      </c>
      <c r="J641" t="s">
        <v>35</v>
      </c>
    </row>
    <row r="642" spans="1:10" x14ac:dyDescent="0.25">
      <c r="A642" t="s">
        <v>15</v>
      </c>
      <c r="B642" t="s">
        <v>16</v>
      </c>
      <c r="C642" t="s">
        <v>58</v>
      </c>
      <c r="D642" s="2">
        <v>100</v>
      </c>
      <c r="E642" s="2">
        <v>150</v>
      </c>
      <c r="F642">
        <v>3</v>
      </c>
      <c r="G642">
        <v>3</v>
      </c>
      <c r="H642">
        <f t="shared" si="2"/>
        <v>0</v>
      </c>
      <c r="I642" s="1">
        <v>44944</v>
      </c>
      <c r="J642" t="s">
        <v>35</v>
      </c>
    </row>
    <row r="643" spans="1:10" x14ac:dyDescent="0.25">
      <c r="A643" t="s">
        <v>2</v>
      </c>
      <c r="B643" t="s">
        <v>21</v>
      </c>
      <c r="C643" t="s">
        <v>51</v>
      </c>
      <c r="D643" s="2">
        <v>25</v>
      </c>
      <c r="E643" s="2">
        <v>40</v>
      </c>
      <c r="F643">
        <v>13</v>
      </c>
      <c r="G643">
        <v>13</v>
      </c>
      <c r="H643">
        <f t="shared" si="2"/>
        <v>0</v>
      </c>
      <c r="I643" s="1">
        <v>44944</v>
      </c>
      <c r="J643" t="s">
        <v>35</v>
      </c>
    </row>
    <row r="644" spans="1:10" x14ac:dyDescent="0.25">
      <c r="A644" t="s">
        <v>7</v>
      </c>
      <c r="B644" t="s">
        <v>21</v>
      </c>
      <c r="C644" t="s">
        <v>59</v>
      </c>
      <c r="D644" s="2">
        <v>30</v>
      </c>
      <c r="E644" s="2">
        <v>50</v>
      </c>
      <c r="F644">
        <v>15</v>
      </c>
      <c r="G644">
        <v>12</v>
      </c>
      <c r="H644">
        <f t="shared" si="2"/>
        <v>3</v>
      </c>
      <c r="I644" s="1">
        <v>44944</v>
      </c>
      <c r="J644" t="s">
        <v>35</v>
      </c>
    </row>
    <row r="645" spans="1:10" x14ac:dyDescent="0.25">
      <c r="A645" t="s">
        <v>9</v>
      </c>
      <c r="B645" t="s">
        <v>21</v>
      </c>
      <c r="C645" t="s">
        <v>60</v>
      </c>
      <c r="D645" s="2">
        <v>25</v>
      </c>
      <c r="E645" s="2">
        <v>40</v>
      </c>
      <c r="F645">
        <v>14</v>
      </c>
      <c r="G645">
        <v>14</v>
      </c>
      <c r="H645">
        <f t="shared" si="2"/>
        <v>0</v>
      </c>
      <c r="I645" s="1">
        <v>44944</v>
      </c>
      <c r="J645" t="s">
        <v>35</v>
      </c>
    </row>
    <row r="646" spans="1:10" x14ac:dyDescent="0.25">
      <c r="A646" t="s">
        <v>23</v>
      </c>
      <c r="B646" t="s">
        <v>21</v>
      </c>
      <c r="C646" t="s">
        <v>61</v>
      </c>
      <c r="D646" s="2">
        <v>25</v>
      </c>
      <c r="E646" s="2">
        <v>40</v>
      </c>
      <c r="F646">
        <v>10</v>
      </c>
      <c r="G646">
        <v>10</v>
      </c>
      <c r="H646">
        <f t="shared" si="2"/>
        <v>0</v>
      </c>
      <c r="I646" s="1">
        <v>44944</v>
      </c>
      <c r="J646" t="s">
        <v>35</v>
      </c>
    </row>
    <row r="647" spans="1:10" x14ac:dyDescent="0.25">
      <c r="A647" t="s">
        <v>13</v>
      </c>
      <c r="B647" t="s">
        <v>21</v>
      </c>
      <c r="C647" t="s">
        <v>62</v>
      </c>
      <c r="D647" s="2">
        <v>30</v>
      </c>
      <c r="E647" s="2">
        <v>55</v>
      </c>
      <c r="F647">
        <v>4</v>
      </c>
      <c r="G647">
        <v>3</v>
      </c>
      <c r="H647">
        <f t="shared" si="2"/>
        <v>1</v>
      </c>
      <c r="I647" s="1">
        <v>44944</v>
      </c>
      <c r="J647" t="s">
        <v>35</v>
      </c>
    </row>
    <row r="648" spans="1:10" x14ac:dyDescent="0.25">
      <c r="A648" t="s">
        <v>17</v>
      </c>
      <c r="B648" t="s">
        <v>21</v>
      </c>
      <c r="C648" t="s">
        <v>63</v>
      </c>
      <c r="D648" s="2">
        <v>40</v>
      </c>
      <c r="E648" s="2">
        <v>65</v>
      </c>
      <c r="F648">
        <v>22</v>
      </c>
      <c r="G648">
        <v>22</v>
      </c>
      <c r="H648">
        <f t="shared" si="2"/>
        <v>0</v>
      </c>
      <c r="I648" s="1">
        <v>44944</v>
      </c>
      <c r="J648" t="s">
        <v>35</v>
      </c>
    </row>
    <row r="649" spans="1:10" x14ac:dyDescent="0.25">
      <c r="A649" t="s">
        <v>34</v>
      </c>
      <c r="B649" t="s">
        <v>21</v>
      </c>
      <c r="C649" t="s">
        <v>64</v>
      </c>
      <c r="D649" s="2">
        <v>50</v>
      </c>
      <c r="E649" s="2">
        <v>70</v>
      </c>
      <c r="F649">
        <v>0</v>
      </c>
      <c r="G649">
        <v>0</v>
      </c>
      <c r="H649">
        <f t="shared" si="2"/>
        <v>0</v>
      </c>
      <c r="I649" s="1">
        <v>44944</v>
      </c>
      <c r="J649" t="s">
        <v>35</v>
      </c>
    </row>
    <row r="650" spans="1:10" x14ac:dyDescent="0.25">
      <c r="A650" t="s">
        <v>18</v>
      </c>
      <c r="B650" t="s">
        <v>21</v>
      </c>
      <c r="C650" t="s">
        <v>65</v>
      </c>
      <c r="D650" s="2">
        <v>20</v>
      </c>
      <c r="E650" s="2">
        <v>30</v>
      </c>
      <c r="F650">
        <v>11</v>
      </c>
      <c r="G650">
        <v>11</v>
      </c>
      <c r="H650">
        <f t="shared" si="2"/>
        <v>0</v>
      </c>
      <c r="I650" s="1">
        <v>44944</v>
      </c>
      <c r="J650" t="s">
        <v>35</v>
      </c>
    </row>
    <row r="651" spans="1:10" x14ac:dyDescent="0.25">
      <c r="A651" t="s">
        <v>19</v>
      </c>
      <c r="B651" t="s">
        <v>21</v>
      </c>
      <c r="C651" t="s">
        <v>66</v>
      </c>
      <c r="D651" s="2">
        <v>10</v>
      </c>
      <c r="E651" s="2">
        <v>20</v>
      </c>
      <c r="F651">
        <v>7</v>
      </c>
      <c r="G651">
        <v>7</v>
      </c>
      <c r="H651">
        <f t="shared" si="2"/>
        <v>0</v>
      </c>
      <c r="I651" s="1">
        <v>44944</v>
      </c>
      <c r="J651" t="s">
        <v>35</v>
      </c>
    </row>
    <row r="652" spans="1:10" x14ac:dyDescent="0.25">
      <c r="A652" t="s">
        <v>20</v>
      </c>
      <c r="B652" t="s">
        <v>21</v>
      </c>
      <c r="C652" t="s">
        <v>67</v>
      </c>
      <c r="D652" s="2">
        <v>60</v>
      </c>
      <c r="E652" s="2">
        <v>100</v>
      </c>
      <c r="F652">
        <v>3</v>
      </c>
      <c r="G652">
        <v>3</v>
      </c>
      <c r="H652">
        <f t="shared" si="2"/>
        <v>0</v>
      </c>
      <c r="I652" s="1">
        <v>44944</v>
      </c>
      <c r="J652" t="s">
        <v>35</v>
      </c>
    </row>
    <row r="653" spans="1:10" x14ac:dyDescent="0.25">
      <c r="A653" t="s">
        <v>22</v>
      </c>
      <c r="B653" t="s">
        <v>24</v>
      </c>
      <c r="C653" t="s">
        <v>68</v>
      </c>
      <c r="D653" s="2">
        <v>50</v>
      </c>
      <c r="E653" s="2">
        <v>70</v>
      </c>
      <c r="F653">
        <v>4</v>
      </c>
      <c r="G653">
        <v>4</v>
      </c>
      <c r="H653">
        <f t="shared" si="2"/>
        <v>0</v>
      </c>
      <c r="I653" s="1">
        <v>44944</v>
      </c>
      <c r="J653" t="s">
        <v>35</v>
      </c>
    </row>
    <row r="654" spans="1:10" x14ac:dyDescent="0.25">
      <c r="A654" t="s">
        <v>25</v>
      </c>
      <c r="B654" t="s">
        <v>24</v>
      </c>
      <c r="C654" t="s">
        <v>69</v>
      </c>
      <c r="D654" s="2">
        <v>45</v>
      </c>
      <c r="E654" s="2">
        <v>65</v>
      </c>
      <c r="F654">
        <v>0</v>
      </c>
      <c r="G654">
        <v>0</v>
      </c>
      <c r="H654">
        <f t="shared" si="2"/>
        <v>0</v>
      </c>
      <c r="I654" s="1">
        <v>44944</v>
      </c>
      <c r="J654" t="s">
        <v>35</v>
      </c>
    </row>
    <row r="655" spans="1:10" x14ac:dyDescent="0.25">
      <c r="A655" t="s">
        <v>26</v>
      </c>
      <c r="B655" t="s">
        <v>24</v>
      </c>
      <c r="C655" t="s">
        <v>70</v>
      </c>
      <c r="D655" s="2">
        <v>50</v>
      </c>
      <c r="E655" s="2">
        <v>70</v>
      </c>
      <c r="F655">
        <v>0</v>
      </c>
      <c r="G655">
        <v>0</v>
      </c>
      <c r="H655">
        <f t="shared" si="2"/>
        <v>0</v>
      </c>
      <c r="I655" s="1">
        <v>44944</v>
      </c>
      <c r="J655" t="s">
        <v>35</v>
      </c>
    </row>
    <row r="656" spans="1:10" x14ac:dyDescent="0.25">
      <c r="A656" t="s">
        <v>27</v>
      </c>
      <c r="B656" t="s">
        <v>24</v>
      </c>
      <c r="C656" t="s">
        <v>71</v>
      </c>
      <c r="D656" s="2">
        <v>10</v>
      </c>
      <c r="E656" s="2">
        <v>15</v>
      </c>
      <c r="F656">
        <v>9</v>
      </c>
      <c r="G656">
        <v>4</v>
      </c>
      <c r="H656">
        <f t="shared" si="2"/>
        <v>5</v>
      </c>
      <c r="I656" s="1">
        <v>44944</v>
      </c>
      <c r="J656" t="s">
        <v>35</v>
      </c>
    </row>
    <row r="657" spans="1:10" x14ac:dyDescent="0.25">
      <c r="A657" t="s">
        <v>28</v>
      </c>
      <c r="B657" t="s">
        <v>24</v>
      </c>
      <c r="C657" t="s">
        <v>72</v>
      </c>
      <c r="D657" s="2">
        <v>20</v>
      </c>
      <c r="E657" s="2">
        <v>25</v>
      </c>
      <c r="F657">
        <v>11</v>
      </c>
      <c r="G657">
        <v>11</v>
      </c>
      <c r="H657">
        <f t="shared" si="2"/>
        <v>0</v>
      </c>
      <c r="I657" s="1">
        <v>44944</v>
      </c>
      <c r="J657" t="s">
        <v>35</v>
      </c>
    </row>
    <row r="658" spans="1:10" x14ac:dyDescent="0.25">
      <c r="A658" t="s">
        <v>29</v>
      </c>
      <c r="B658" t="s">
        <v>30</v>
      </c>
      <c r="C658" t="s">
        <v>73</v>
      </c>
      <c r="D658" s="2">
        <v>25</v>
      </c>
      <c r="E658" s="2">
        <v>30</v>
      </c>
      <c r="F658">
        <v>17</v>
      </c>
      <c r="G658">
        <v>10</v>
      </c>
      <c r="H658">
        <f t="shared" si="2"/>
        <v>7</v>
      </c>
      <c r="I658" s="1">
        <v>44944</v>
      </c>
      <c r="J658" t="s">
        <v>35</v>
      </c>
    </row>
    <row r="659" spans="1:10" x14ac:dyDescent="0.25">
      <c r="A659" t="s">
        <v>31</v>
      </c>
      <c r="B659" t="s">
        <v>30</v>
      </c>
      <c r="C659" t="s">
        <v>74</v>
      </c>
      <c r="D659" s="2">
        <v>25</v>
      </c>
      <c r="E659" s="2">
        <v>30</v>
      </c>
      <c r="F659">
        <v>3</v>
      </c>
      <c r="G659">
        <v>1</v>
      </c>
      <c r="H659">
        <f t="shared" si="2"/>
        <v>2</v>
      </c>
      <c r="I659" s="1">
        <v>44944</v>
      </c>
      <c r="J659" t="s">
        <v>35</v>
      </c>
    </row>
    <row r="660" spans="1:10" x14ac:dyDescent="0.25">
      <c r="A660" t="s">
        <v>32</v>
      </c>
      <c r="B660" t="s">
        <v>30</v>
      </c>
      <c r="C660" t="s">
        <v>75</v>
      </c>
      <c r="D660" s="2">
        <v>25</v>
      </c>
      <c r="E660" s="2">
        <v>30</v>
      </c>
      <c r="F660">
        <v>8</v>
      </c>
      <c r="G660">
        <v>1</v>
      </c>
      <c r="H660">
        <f t="shared" si="2"/>
        <v>7</v>
      </c>
      <c r="I660" s="1">
        <v>44944</v>
      </c>
      <c r="J660" t="s">
        <v>35</v>
      </c>
    </row>
    <row r="661" spans="1:10" x14ac:dyDescent="0.25">
      <c r="A661" t="s">
        <v>33</v>
      </c>
      <c r="B661" t="s">
        <v>30</v>
      </c>
      <c r="C661" t="s">
        <v>76</v>
      </c>
      <c r="D661" s="2">
        <v>30</v>
      </c>
      <c r="E661" s="2">
        <v>35</v>
      </c>
      <c r="F661">
        <v>13</v>
      </c>
      <c r="G661">
        <v>10</v>
      </c>
      <c r="H661">
        <f t="shared" si="2"/>
        <v>3</v>
      </c>
      <c r="I661" s="1">
        <v>44944</v>
      </c>
      <c r="J661" t="s">
        <v>35</v>
      </c>
    </row>
    <row r="662" spans="1:10" x14ac:dyDescent="0.25">
      <c r="A662" t="s">
        <v>2</v>
      </c>
      <c r="B662" t="s">
        <v>3</v>
      </c>
      <c r="C662" t="s">
        <v>48</v>
      </c>
      <c r="D662" s="2">
        <v>100</v>
      </c>
      <c r="E662" s="2">
        <v>200</v>
      </c>
      <c r="F662">
        <v>3</v>
      </c>
      <c r="G662">
        <v>3</v>
      </c>
      <c r="H662">
        <f t="shared" si="2"/>
        <v>0</v>
      </c>
      <c r="I662" s="1">
        <v>44945</v>
      </c>
      <c r="J662" t="s">
        <v>36</v>
      </c>
    </row>
    <row r="663" spans="1:10" x14ac:dyDescent="0.25">
      <c r="A663" t="s">
        <v>7</v>
      </c>
      <c r="B663" t="s">
        <v>3</v>
      </c>
      <c r="C663" t="s">
        <v>77</v>
      </c>
      <c r="D663" s="2">
        <v>200</v>
      </c>
      <c r="E663" s="2">
        <v>300</v>
      </c>
      <c r="F663">
        <v>3</v>
      </c>
      <c r="G663">
        <v>3</v>
      </c>
      <c r="H663">
        <f t="shared" si="2"/>
        <v>0</v>
      </c>
      <c r="I663" s="1">
        <v>44945</v>
      </c>
      <c r="J663" t="s">
        <v>36</v>
      </c>
    </row>
    <row r="664" spans="1:10" x14ac:dyDescent="0.25">
      <c r="A664" t="s">
        <v>23</v>
      </c>
      <c r="B664" t="s">
        <v>3</v>
      </c>
      <c r="C664" t="s">
        <v>52</v>
      </c>
      <c r="D664" s="2">
        <v>150</v>
      </c>
      <c r="E664" s="2">
        <v>250</v>
      </c>
      <c r="F664">
        <v>3</v>
      </c>
      <c r="G664">
        <v>2</v>
      </c>
      <c r="H664">
        <f t="shared" si="2"/>
        <v>1</v>
      </c>
      <c r="I664" s="1">
        <v>44945</v>
      </c>
      <c r="J664" t="s">
        <v>36</v>
      </c>
    </row>
    <row r="665" spans="1:10" x14ac:dyDescent="0.25">
      <c r="A665" t="s">
        <v>9</v>
      </c>
      <c r="B665" t="s">
        <v>3</v>
      </c>
      <c r="C665" t="s">
        <v>53</v>
      </c>
      <c r="D665" s="2">
        <v>100</v>
      </c>
      <c r="E665" s="2">
        <v>200</v>
      </c>
      <c r="F665">
        <v>2</v>
      </c>
      <c r="G665">
        <v>0</v>
      </c>
      <c r="H665">
        <f t="shared" si="2"/>
        <v>2</v>
      </c>
      <c r="I665" s="1">
        <v>44945</v>
      </c>
      <c r="J665" t="s">
        <v>36</v>
      </c>
    </row>
    <row r="666" spans="1:10" x14ac:dyDescent="0.25">
      <c r="A666" t="s">
        <v>2</v>
      </c>
      <c r="B666" t="s">
        <v>12</v>
      </c>
      <c r="C666" t="s">
        <v>49</v>
      </c>
      <c r="D666" s="2">
        <v>250</v>
      </c>
      <c r="E666" s="2">
        <v>350</v>
      </c>
      <c r="F666">
        <v>3</v>
      </c>
      <c r="G666">
        <v>3</v>
      </c>
      <c r="H666">
        <f t="shared" si="2"/>
        <v>0</v>
      </c>
      <c r="I666" s="1">
        <v>44945</v>
      </c>
      <c r="J666" t="s">
        <v>36</v>
      </c>
    </row>
    <row r="667" spans="1:10" x14ac:dyDescent="0.25">
      <c r="A667" t="s">
        <v>7</v>
      </c>
      <c r="B667" t="s">
        <v>12</v>
      </c>
      <c r="C667" t="s">
        <v>54</v>
      </c>
      <c r="D667" s="2">
        <v>300</v>
      </c>
      <c r="E667" s="2">
        <v>400</v>
      </c>
      <c r="F667">
        <v>1</v>
      </c>
      <c r="G667">
        <v>0</v>
      </c>
      <c r="H667">
        <f t="shared" si="2"/>
        <v>1</v>
      </c>
      <c r="I667" s="1">
        <v>44945</v>
      </c>
      <c r="J667" t="s">
        <v>36</v>
      </c>
    </row>
    <row r="668" spans="1:10" x14ac:dyDescent="0.25">
      <c r="A668" t="s">
        <v>8</v>
      </c>
      <c r="B668" t="s">
        <v>12</v>
      </c>
      <c r="C668" t="s">
        <v>55</v>
      </c>
      <c r="D668" s="2">
        <v>250</v>
      </c>
      <c r="E668" s="2">
        <v>350</v>
      </c>
      <c r="F668">
        <v>3</v>
      </c>
      <c r="G668">
        <v>2</v>
      </c>
      <c r="H668">
        <f t="shared" si="2"/>
        <v>1</v>
      </c>
      <c r="I668" s="1">
        <v>44945</v>
      </c>
      <c r="J668" t="s">
        <v>36</v>
      </c>
    </row>
    <row r="669" spans="1:10" x14ac:dyDescent="0.25">
      <c r="A669" t="s">
        <v>9</v>
      </c>
      <c r="B669" t="s">
        <v>12</v>
      </c>
      <c r="C669" t="s">
        <v>56</v>
      </c>
      <c r="D669" s="2">
        <v>250</v>
      </c>
      <c r="E669" s="2">
        <v>350</v>
      </c>
      <c r="F669">
        <v>2</v>
      </c>
      <c r="G669">
        <v>2</v>
      </c>
      <c r="H669">
        <f t="shared" si="2"/>
        <v>0</v>
      </c>
      <c r="I669" s="1">
        <v>44945</v>
      </c>
      <c r="J669" t="s">
        <v>36</v>
      </c>
    </row>
    <row r="670" spans="1:10" x14ac:dyDescent="0.25">
      <c r="A670" t="s">
        <v>13</v>
      </c>
      <c r="B670" t="s">
        <v>12</v>
      </c>
      <c r="C670" t="s">
        <v>57</v>
      </c>
      <c r="D670" s="2">
        <v>300</v>
      </c>
      <c r="E670" s="2">
        <v>450</v>
      </c>
      <c r="F670">
        <v>1</v>
      </c>
      <c r="G670">
        <v>1</v>
      </c>
      <c r="H670">
        <f t="shared" si="2"/>
        <v>0</v>
      </c>
      <c r="I670" s="1">
        <v>44945</v>
      </c>
      <c r="J670" t="s">
        <v>36</v>
      </c>
    </row>
    <row r="671" spans="1:10" x14ac:dyDescent="0.25">
      <c r="A671" t="s">
        <v>14</v>
      </c>
      <c r="B671" t="s">
        <v>16</v>
      </c>
      <c r="C671" t="s">
        <v>50</v>
      </c>
      <c r="D671" s="2">
        <v>320</v>
      </c>
      <c r="E671" s="2">
        <v>400</v>
      </c>
      <c r="F671">
        <v>0</v>
      </c>
      <c r="G671">
        <v>0</v>
      </c>
      <c r="H671">
        <f t="shared" si="2"/>
        <v>0</v>
      </c>
      <c r="I671" s="1">
        <v>44945</v>
      </c>
      <c r="J671" t="s">
        <v>36</v>
      </c>
    </row>
    <row r="672" spans="1:10" x14ac:dyDescent="0.25">
      <c r="A672" t="s">
        <v>15</v>
      </c>
      <c r="B672" t="s">
        <v>16</v>
      </c>
      <c r="C672" t="s">
        <v>58</v>
      </c>
      <c r="D672" s="2">
        <v>100</v>
      </c>
      <c r="E672" s="2">
        <v>150</v>
      </c>
      <c r="F672">
        <v>3</v>
      </c>
      <c r="G672">
        <v>3</v>
      </c>
      <c r="H672">
        <f t="shared" si="2"/>
        <v>0</v>
      </c>
      <c r="I672" s="1">
        <v>44945</v>
      </c>
      <c r="J672" t="s">
        <v>36</v>
      </c>
    </row>
    <row r="673" spans="1:10" x14ac:dyDescent="0.25">
      <c r="A673" t="s">
        <v>2</v>
      </c>
      <c r="B673" t="s">
        <v>21</v>
      </c>
      <c r="C673" t="s">
        <v>51</v>
      </c>
      <c r="D673" s="2">
        <v>25</v>
      </c>
      <c r="E673" s="2">
        <v>40</v>
      </c>
      <c r="F673">
        <v>13</v>
      </c>
      <c r="G673">
        <v>6</v>
      </c>
      <c r="H673">
        <f t="shared" si="2"/>
        <v>7</v>
      </c>
      <c r="I673" s="1">
        <v>44945</v>
      </c>
      <c r="J673" t="s">
        <v>36</v>
      </c>
    </row>
    <row r="674" spans="1:10" x14ac:dyDescent="0.25">
      <c r="A674" t="s">
        <v>7</v>
      </c>
      <c r="B674" t="s">
        <v>21</v>
      </c>
      <c r="C674" t="s">
        <v>59</v>
      </c>
      <c r="D674" s="2">
        <v>30</v>
      </c>
      <c r="E674" s="2">
        <v>50</v>
      </c>
      <c r="F674">
        <v>12</v>
      </c>
      <c r="G674">
        <v>11</v>
      </c>
      <c r="H674">
        <f t="shared" si="2"/>
        <v>1</v>
      </c>
      <c r="I674" s="1">
        <v>44945</v>
      </c>
      <c r="J674" t="s">
        <v>36</v>
      </c>
    </row>
    <row r="675" spans="1:10" x14ac:dyDescent="0.25">
      <c r="A675" t="s">
        <v>9</v>
      </c>
      <c r="B675" t="s">
        <v>21</v>
      </c>
      <c r="C675" t="s">
        <v>60</v>
      </c>
      <c r="D675" s="2">
        <v>25</v>
      </c>
      <c r="E675" s="2">
        <v>40</v>
      </c>
      <c r="F675">
        <v>14</v>
      </c>
      <c r="G675">
        <v>13</v>
      </c>
      <c r="H675">
        <f t="shared" si="2"/>
        <v>1</v>
      </c>
      <c r="I675" s="1">
        <v>44945</v>
      </c>
      <c r="J675" t="s">
        <v>36</v>
      </c>
    </row>
    <row r="676" spans="1:10" x14ac:dyDescent="0.25">
      <c r="A676" t="s">
        <v>23</v>
      </c>
      <c r="B676" t="s">
        <v>21</v>
      </c>
      <c r="C676" t="s">
        <v>61</v>
      </c>
      <c r="D676" s="2">
        <v>25</v>
      </c>
      <c r="E676" s="2">
        <v>40</v>
      </c>
      <c r="F676">
        <v>10</v>
      </c>
      <c r="G676">
        <v>1</v>
      </c>
      <c r="H676">
        <f t="shared" si="2"/>
        <v>9</v>
      </c>
      <c r="I676" s="1">
        <v>44945</v>
      </c>
      <c r="J676" t="s">
        <v>36</v>
      </c>
    </row>
    <row r="677" spans="1:10" x14ac:dyDescent="0.25">
      <c r="A677" t="s">
        <v>13</v>
      </c>
      <c r="B677" t="s">
        <v>21</v>
      </c>
      <c r="C677" t="s">
        <v>62</v>
      </c>
      <c r="D677" s="2">
        <v>30</v>
      </c>
      <c r="E677" s="2">
        <v>55</v>
      </c>
      <c r="F677">
        <v>3</v>
      </c>
      <c r="G677">
        <v>1</v>
      </c>
      <c r="H677">
        <f t="shared" si="2"/>
        <v>2</v>
      </c>
      <c r="I677" s="1">
        <v>44945</v>
      </c>
      <c r="J677" t="s">
        <v>36</v>
      </c>
    </row>
    <row r="678" spans="1:10" x14ac:dyDescent="0.25">
      <c r="A678" t="s">
        <v>17</v>
      </c>
      <c r="B678" t="s">
        <v>21</v>
      </c>
      <c r="C678" t="s">
        <v>63</v>
      </c>
      <c r="D678" s="2">
        <v>40</v>
      </c>
      <c r="E678" s="2">
        <v>65</v>
      </c>
      <c r="F678">
        <v>22</v>
      </c>
      <c r="G678">
        <v>11</v>
      </c>
      <c r="H678">
        <f t="shared" si="2"/>
        <v>11</v>
      </c>
      <c r="I678" s="1">
        <v>44945</v>
      </c>
      <c r="J678" t="s">
        <v>36</v>
      </c>
    </row>
    <row r="679" spans="1:10" x14ac:dyDescent="0.25">
      <c r="A679" t="s">
        <v>34</v>
      </c>
      <c r="B679" t="s">
        <v>21</v>
      </c>
      <c r="C679" t="s">
        <v>64</v>
      </c>
      <c r="D679" s="2">
        <v>50</v>
      </c>
      <c r="E679" s="2">
        <v>70</v>
      </c>
      <c r="F679">
        <v>0</v>
      </c>
      <c r="G679">
        <v>0</v>
      </c>
      <c r="H679">
        <f t="shared" si="2"/>
        <v>0</v>
      </c>
      <c r="I679" s="1">
        <v>44945</v>
      </c>
      <c r="J679" t="s">
        <v>36</v>
      </c>
    </row>
    <row r="680" spans="1:10" x14ac:dyDescent="0.25">
      <c r="A680" t="s">
        <v>18</v>
      </c>
      <c r="B680" t="s">
        <v>21</v>
      </c>
      <c r="C680" t="s">
        <v>65</v>
      </c>
      <c r="D680" s="2">
        <v>20</v>
      </c>
      <c r="E680" s="2">
        <v>30</v>
      </c>
      <c r="F680">
        <v>11</v>
      </c>
      <c r="G680">
        <v>11</v>
      </c>
      <c r="H680">
        <f t="shared" si="2"/>
        <v>0</v>
      </c>
      <c r="I680" s="1">
        <v>44945</v>
      </c>
      <c r="J680" t="s">
        <v>36</v>
      </c>
    </row>
    <row r="681" spans="1:10" x14ac:dyDescent="0.25">
      <c r="A681" t="s">
        <v>19</v>
      </c>
      <c r="B681" t="s">
        <v>21</v>
      </c>
      <c r="C681" t="s">
        <v>66</v>
      </c>
      <c r="D681" s="2">
        <v>10</v>
      </c>
      <c r="E681" s="2">
        <v>20</v>
      </c>
      <c r="F681">
        <v>7</v>
      </c>
      <c r="G681">
        <v>7</v>
      </c>
      <c r="H681">
        <f t="shared" si="2"/>
        <v>0</v>
      </c>
      <c r="I681" s="1">
        <v>44945</v>
      </c>
      <c r="J681" t="s">
        <v>36</v>
      </c>
    </row>
    <row r="682" spans="1:10" x14ac:dyDescent="0.25">
      <c r="A682" t="s">
        <v>20</v>
      </c>
      <c r="B682" t="s">
        <v>21</v>
      </c>
      <c r="C682" t="s">
        <v>67</v>
      </c>
      <c r="D682" s="2">
        <v>60</v>
      </c>
      <c r="E682" s="2">
        <v>100</v>
      </c>
      <c r="F682">
        <v>3</v>
      </c>
      <c r="G682">
        <v>3</v>
      </c>
      <c r="H682">
        <f t="shared" si="2"/>
        <v>0</v>
      </c>
      <c r="I682" s="1">
        <v>44945</v>
      </c>
      <c r="J682" t="s">
        <v>36</v>
      </c>
    </row>
    <row r="683" spans="1:10" x14ac:dyDescent="0.25">
      <c r="A683" t="s">
        <v>22</v>
      </c>
      <c r="B683" t="s">
        <v>24</v>
      </c>
      <c r="C683" t="s">
        <v>68</v>
      </c>
      <c r="D683" s="2">
        <v>50</v>
      </c>
      <c r="E683" s="2">
        <v>70</v>
      </c>
      <c r="F683">
        <v>4</v>
      </c>
      <c r="G683">
        <v>3</v>
      </c>
      <c r="H683">
        <f t="shared" si="2"/>
        <v>1</v>
      </c>
      <c r="I683" s="1">
        <v>44945</v>
      </c>
      <c r="J683" t="s">
        <v>36</v>
      </c>
    </row>
    <row r="684" spans="1:10" x14ac:dyDescent="0.25">
      <c r="A684" t="s">
        <v>25</v>
      </c>
      <c r="B684" t="s">
        <v>24</v>
      </c>
      <c r="C684" t="s">
        <v>69</v>
      </c>
      <c r="D684" s="2">
        <v>45</v>
      </c>
      <c r="E684" s="2">
        <v>65</v>
      </c>
      <c r="F684">
        <v>0</v>
      </c>
      <c r="G684">
        <v>0</v>
      </c>
      <c r="H684">
        <f t="shared" si="2"/>
        <v>0</v>
      </c>
      <c r="I684" s="1">
        <v>44945</v>
      </c>
      <c r="J684" t="s">
        <v>36</v>
      </c>
    </row>
    <row r="685" spans="1:10" x14ac:dyDescent="0.25">
      <c r="A685" t="s">
        <v>26</v>
      </c>
      <c r="B685" t="s">
        <v>24</v>
      </c>
      <c r="C685" t="s">
        <v>70</v>
      </c>
      <c r="D685" s="2">
        <v>50</v>
      </c>
      <c r="E685" s="2">
        <v>70</v>
      </c>
      <c r="F685">
        <v>0</v>
      </c>
      <c r="G685">
        <v>0</v>
      </c>
      <c r="H685">
        <f t="shared" si="2"/>
        <v>0</v>
      </c>
      <c r="I685" s="1">
        <v>44945</v>
      </c>
      <c r="J685" t="s">
        <v>36</v>
      </c>
    </row>
    <row r="686" spans="1:10" x14ac:dyDescent="0.25">
      <c r="A686" t="s">
        <v>27</v>
      </c>
      <c r="B686" t="s">
        <v>24</v>
      </c>
      <c r="C686" t="s">
        <v>71</v>
      </c>
      <c r="D686" s="2">
        <v>10</v>
      </c>
      <c r="E686" s="2">
        <v>15</v>
      </c>
      <c r="F686">
        <v>4</v>
      </c>
      <c r="G686">
        <v>1</v>
      </c>
      <c r="H686">
        <f t="shared" si="2"/>
        <v>3</v>
      </c>
      <c r="I686" s="1">
        <v>44945</v>
      </c>
      <c r="J686" t="s">
        <v>36</v>
      </c>
    </row>
    <row r="687" spans="1:10" x14ac:dyDescent="0.25">
      <c r="A687" t="s">
        <v>28</v>
      </c>
      <c r="B687" t="s">
        <v>24</v>
      </c>
      <c r="C687" t="s">
        <v>72</v>
      </c>
      <c r="D687" s="2">
        <v>20</v>
      </c>
      <c r="E687" s="2">
        <v>25</v>
      </c>
      <c r="F687">
        <v>11</v>
      </c>
      <c r="G687">
        <v>5</v>
      </c>
      <c r="H687">
        <f t="shared" si="2"/>
        <v>6</v>
      </c>
      <c r="I687" s="1">
        <v>44945</v>
      </c>
      <c r="J687" t="s">
        <v>36</v>
      </c>
    </row>
    <row r="688" spans="1:10" x14ac:dyDescent="0.25">
      <c r="A688" t="s">
        <v>29</v>
      </c>
      <c r="B688" t="s">
        <v>30</v>
      </c>
      <c r="C688" t="s">
        <v>73</v>
      </c>
      <c r="D688" s="2">
        <v>25</v>
      </c>
      <c r="E688" s="2">
        <v>30</v>
      </c>
      <c r="F688">
        <v>10</v>
      </c>
      <c r="G688">
        <v>8</v>
      </c>
      <c r="H688">
        <f t="shared" si="2"/>
        <v>2</v>
      </c>
      <c r="I688" s="1">
        <v>44945</v>
      </c>
      <c r="J688" t="s">
        <v>36</v>
      </c>
    </row>
    <row r="689" spans="1:10" x14ac:dyDescent="0.25">
      <c r="A689" t="s">
        <v>31</v>
      </c>
      <c r="B689" t="s">
        <v>30</v>
      </c>
      <c r="C689" t="s">
        <v>74</v>
      </c>
      <c r="D689" s="2">
        <v>25</v>
      </c>
      <c r="E689" s="2">
        <v>30</v>
      </c>
      <c r="F689">
        <v>6</v>
      </c>
      <c r="G689">
        <v>6</v>
      </c>
      <c r="H689">
        <f t="shared" si="2"/>
        <v>0</v>
      </c>
      <c r="I689" s="1">
        <v>44945</v>
      </c>
      <c r="J689" t="s">
        <v>36</v>
      </c>
    </row>
    <row r="690" spans="1:10" x14ac:dyDescent="0.25">
      <c r="A690" t="s">
        <v>32</v>
      </c>
      <c r="B690" t="s">
        <v>30</v>
      </c>
      <c r="C690" t="s">
        <v>75</v>
      </c>
      <c r="D690" s="2">
        <v>25</v>
      </c>
      <c r="E690" s="2">
        <v>30</v>
      </c>
      <c r="F690">
        <v>6</v>
      </c>
      <c r="G690">
        <v>5</v>
      </c>
      <c r="H690">
        <f t="shared" si="2"/>
        <v>1</v>
      </c>
      <c r="I690" s="1">
        <v>44945</v>
      </c>
      <c r="J690" t="s">
        <v>36</v>
      </c>
    </row>
    <row r="691" spans="1:10" x14ac:dyDescent="0.25">
      <c r="A691" t="s">
        <v>33</v>
      </c>
      <c r="B691" t="s">
        <v>30</v>
      </c>
      <c r="C691" t="s">
        <v>76</v>
      </c>
      <c r="D691" s="2">
        <v>30</v>
      </c>
      <c r="E691" s="2">
        <v>35</v>
      </c>
      <c r="F691">
        <v>10</v>
      </c>
      <c r="G691">
        <v>5</v>
      </c>
      <c r="H691">
        <f t="shared" si="2"/>
        <v>5</v>
      </c>
      <c r="I691" s="1">
        <v>44945</v>
      </c>
      <c r="J691" t="s">
        <v>36</v>
      </c>
    </row>
    <row r="692" spans="1:10" x14ac:dyDescent="0.25">
      <c r="A692" t="s">
        <v>2</v>
      </c>
      <c r="B692" t="s">
        <v>3</v>
      </c>
      <c r="C692" t="s">
        <v>48</v>
      </c>
      <c r="D692" s="2">
        <v>100</v>
      </c>
      <c r="E692" s="2">
        <v>200</v>
      </c>
      <c r="F692">
        <v>4</v>
      </c>
      <c r="G692">
        <v>1</v>
      </c>
      <c r="H692">
        <f t="shared" si="2"/>
        <v>3</v>
      </c>
      <c r="I692" s="1">
        <v>44946</v>
      </c>
      <c r="J692" t="s">
        <v>37</v>
      </c>
    </row>
    <row r="693" spans="1:10" x14ac:dyDescent="0.25">
      <c r="A693" t="s">
        <v>7</v>
      </c>
      <c r="B693" t="s">
        <v>3</v>
      </c>
      <c r="C693" t="s">
        <v>77</v>
      </c>
      <c r="D693" s="2">
        <v>200</v>
      </c>
      <c r="E693" s="2">
        <v>300</v>
      </c>
      <c r="F693">
        <v>4</v>
      </c>
      <c r="G693">
        <v>4</v>
      </c>
      <c r="H693">
        <f t="shared" si="2"/>
        <v>0</v>
      </c>
      <c r="I693" s="1">
        <v>44946</v>
      </c>
      <c r="J693" t="s">
        <v>37</v>
      </c>
    </row>
    <row r="694" spans="1:10" x14ac:dyDescent="0.25">
      <c r="A694" t="s">
        <v>23</v>
      </c>
      <c r="B694" t="s">
        <v>3</v>
      </c>
      <c r="C694" t="s">
        <v>52</v>
      </c>
      <c r="D694" s="2">
        <v>150</v>
      </c>
      <c r="E694" s="2">
        <v>250</v>
      </c>
      <c r="F694">
        <v>3</v>
      </c>
      <c r="G694">
        <v>3</v>
      </c>
      <c r="H694">
        <f t="shared" si="2"/>
        <v>0</v>
      </c>
      <c r="I694" s="1">
        <v>44946</v>
      </c>
      <c r="J694" t="s">
        <v>37</v>
      </c>
    </row>
    <row r="695" spans="1:10" x14ac:dyDescent="0.25">
      <c r="A695" t="s">
        <v>9</v>
      </c>
      <c r="B695" t="s">
        <v>3</v>
      </c>
      <c r="C695" t="s">
        <v>53</v>
      </c>
      <c r="D695" s="2">
        <v>100</v>
      </c>
      <c r="E695" s="2">
        <v>200</v>
      </c>
      <c r="F695">
        <v>3</v>
      </c>
      <c r="G695">
        <v>3</v>
      </c>
      <c r="H695">
        <f t="shared" si="2"/>
        <v>0</v>
      </c>
      <c r="I695" s="1">
        <v>44946</v>
      </c>
      <c r="J695" t="s">
        <v>37</v>
      </c>
    </row>
    <row r="696" spans="1:10" x14ac:dyDescent="0.25">
      <c r="A696" t="s">
        <v>2</v>
      </c>
      <c r="B696" t="s">
        <v>12</v>
      </c>
      <c r="C696" t="s">
        <v>49</v>
      </c>
      <c r="D696" s="2">
        <v>250</v>
      </c>
      <c r="E696" s="2">
        <v>350</v>
      </c>
      <c r="F696">
        <v>3</v>
      </c>
      <c r="G696">
        <v>1</v>
      </c>
      <c r="H696">
        <f t="shared" si="2"/>
        <v>2</v>
      </c>
      <c r="I696" s="1">
        <v>44946</v>
      </c>
      <c r="J696" t="s">
        <v>37</v>
      </c>
    </row>
    <row r="697" spans="1:10" x14ac:dyDescent="0.25">
      <c r="A697" t="s">
        <v>7</v>
      </c>
      <c r="B697" t="s">
        <v>12</v>
      </c>
      <c r="C697" t="s">
        <v>54</v>
      </c>
      <c r="D697" s="2">
        <v>300</v>
      </c>
      <c r="E697" s="2">
        <v>400</v>
      </c>
      <c r="F697">
        <v>0</v>
      </c>
      <c r="G697">
        <v>0</v>
      </c>
      <c r="H697">
        <f t="shared" si="2"/>
        <v>0</v>
      </c>
      <c r="I697" s="1">
        <v>44946</v>
      </c>
      <c r="J697" t="s">
        <v>37</v>
      </c>
    </row>
    <row r="698" spans="1:10" x14ac:dyDescent="0.25">
      <c r="A698" t="s">
        <v>8</v>
      </c>
      <c r="B698" t="s">
        <v>12</v>
      </c>
      <c r="C698" t="s">
        <v>55</v>
      </c>
      <c r="D698" s="2">
        <v>250</v>
      </c>
      <c r="E698" s="2">
        <v>350</v>
      </c>
      <c r="F698">
        <v>2</v>
      </c>
      <c r="G698">
        <v>2</v>
      </c>
      <c r="H698">
        <f t="shared" si="2"/>
        <v>0</v>
      </c>
      <c r="I698" s="1">
        <v>44946</v>
      </c>
      <c r="J698" t="s">
        <v>37</v>
      </c>
    </row>
    <row r="699" spans="1:10" x14ac:dyDescent="0.25">
      <c r="A699" t="s">
        <v>9</v>
      </c>
      <c r="B699" t="s">
        <v>12</v>
      </c>
      <c r="C699" t="s">
        <v>56</v>
      </c>
      <c r="D699" s="2">
        <v>250</v>
      </c>
      <c r="E699" s="2">
        <v>350</v>
      </c>
      <c r="F699">
        <v>2</v>
      </c>
      <c r="G699">
        <v>2</v>
      </c>
      <c r="H699">
        <f t="shared" si="2"/>
        <v>0</v>
      </c>
      <c r="I699" s="1">
        <v>44946</v>
      </c>
      <c r="J699" t="s">
        <v>37</v>
      </c>
    </row>
    <row r="700" spans="1:10" x14ac:dyDescent="0.25">
      <c r="A700" t="s">
        <v>13</v>
      </c>
      <c r="B700" t="s">
        <v>12</v>
      </c>
      <c r="C700" t="s">
        <v>57</v>
      </c>
      <c r="D700" s="2">
        <v>300</v>
      </c>
      <c r="E700" s="2">
        <v>450</v>
      </c>
      <c r="F700">
        <v>1</v>
      </c>
      <c r="G700">
        <v>1</v>
      </c>
      <c r="H700">
        <f t="shared" si="2"/>
        <v>0</v>
      </c>
      <c r="I700" s="1">
        <v>44946</v>
      </c>
      <c r="J700" t="s">
        <v>37</v>
      </c>
    </row>
    <row r="701" spans="1:10" x14ac:dyDescent="0.25">
      <c r="A701" t="s">
        <v>14</v>
      </c>
      <c r="B701" t="s">
        <v>16</v>
      </c>
      <c r="C701" t="s">
        <v>50</v>
      </c>
      <c r="D701" s="2">
        <v>320</v>
      </c>
      <c r="E701" s="2">
        <v>400</v>
      </c>
      <c r="F701">
        <v>0</v>
      </c>
      <c r="G701">
        <v>0</v>
      </c>
      <c r="H701">
        <f t="shared" si="2"/>
        <v>0</v>
      </c>
      <c r="I701" s="1">
        <v>44946</v>
      </c>
      <c r="J701" t="s">
        <v>37</v>
      </c>
    </row>
    <row r="702" spans="1:10" x14ac:dyDescent="0.25">
      <c r="A702" t="s">
        <v>15</v>
      </c>
      <c r="B702" t="s">
        <v>16</v>
      </c>
      <c r="C702" t="s">
        <v>58</v>
      </c>
      <c r="D702" s="2">
        <v>100</v>
      </c>
      <c r="E702" s="2">
        <v>150</v>
      </c>
      <c r="F702">
        <v>3</v>
      </c>
      <c r="G702">
        <v>3</v>
      </c>
      <c r="H702">
        <f t="shared" si="2"/>
        <v>0</v>
      </c>
      <c r="I702" s="1">
        <v>44946</v>
      </c>
      <c r="J702" t="s">
        <v>37</v>
      </c>
    </row>
    <row r="703" spans="1:10" x14ac:dyDescent="0.25">
      <c r="A703" t="s">
        <v>2</v>
      </c>
      <c r="B703" t="s">
        <v>21</v>
      </c>
      <c r="C703" t="s">
        <v>51</v>
      </c>
      <c r="D703" s="2">
        <v>25</v>
      </c>
      <c r="E703" s="2">
        <v>40</v>
      </c>
      <c r="F703">
        <v>6</v>
      </c>
      <c r="G703">
        <v>5</v>
      </c>
      <c r="H703">
        <f t="shared" si="2"/>
        <v>1</v>
      </c>
      <c r="I703" s="1">
        <v>44946</v>
      </c>
      <c r="J703" t="s">
        <v>37</v>
      </c>
    </row>
    <row r="704" spans="1:10" x14ac:dyDescent="0.25">
      <c r="A704" t="s">
        <v>7</v>
      </c>
      <c r="B704" t="s">
        <v>21</v>
      </c>
      <c r="C704" t="s">
        <v>59</v>
      </c>
      <c r="D704" s="2">
        <v>30</v>
      </c>
      <c r="E704" s="2">
        <v>50</v>
      </c>
      <c r="F704">
        <v>11</v>
      </c>
      <c r="G704">
        <v>10</v>
      </c>
      <c r="H704">
        <f t="shared" si="2"/>
        <v>1</v>
      </c>
      <c r="I704" s="1">
        <v>44946</v>
      </c>
      <c r="J704" t="s">
        <v>37</v>
      </c>
    </row>
    <row r="705" spans="1:10" x14ac:dyDescent="0.25">
      <c r="A705" t="s">
        <v>9</v>
      </c>
      <c r="B705" t="s">
        <v>21</v>
      </c>
      <c r="C705" t="s">
        <v>60</v>
      </c>
      <c r="D705" s="2">
        <v>25</v>
      </c>
      <c r="E705" s="2">
        <v>40</v>
      </c>
      <c r="F705">
        <v>13</v>
      </c>
      <c r="G705">
        <v>9</v>
      </c>
      <c r="H705">
        <f t="shared" si="2"/>
        <v>4</v>
      </c>
      <c r="I705" s="1">
        <v>44946</v>
      </c>
      <c r="J705" t="s">
        <v>37</v>
      </c>
    </row>
    <row r="706" spans="1:10" x14ac:dyDescent="0.25">
      <c r="A706" t="s">
        <v>23</v>
      </c>
      <c r="B706" t="s">
        <v>21</v>
      </c>
      <c r="C706" t="s">
        <v>61</v>
      </c>
      <c r="D706" s="2">
        <v>25</v>
      </c>
      <c r="E706" s="2">
        <v>40</v>
      </c>
      <c r="F706">
        <v>1</v>
      </c>
      <c r="G706">
        <v>0</v>
      </c>
      <c r="H706">
        <f t="shared" si="2"/>
        <v>1</v>
      </c>
      <c r="I706" s="1">
        <v>44946</v>
      </c>
      <c r="J706" t="s">
        <v>37</v>
      </c>
    </row>
    <row r="707" spans="1:10" x14ac:dyDescent="0.25">
      <c r="A707" t="s">
        <v>13</v>
      </c>
      <c r="B707" t="s">
        <v>21</v>
      </c>
      <c r="C707" t="s">
        <v>62</v>
      </c>
      <c r="D707" s="2">
        <v>30</v>
      </c>
      <c r="E707" s="2">
        <v>55</v>
      </c>
      <c r="F707">
        <v>1</v>
      </c>
      <c r="G707">
        <v>1</v>
      </c>
      <c r="H707">
        <f t="shared" si="2"/>
        <v>0</v>
      </c>
      <c r="I707" s="1">
        <v>44946</v>
      </c>
      <c r="J707" t="s">
        <v>37</v>
      </c>
    </row>
    <row r="708" spans="1:10" x14ac:dyDescent="0.25">
      <c r="A708" t="s">
        <v>17</v>
      </c>
      <c r="B708" t="s">
        <v>21</v>
      </c>
      <c r="C708" t="s">
        <v>63</v>
      </c>
      <c r="D708" s="2">
        <v>40</v>
      </c>
      <c r="E708" s="2">
        <v>65</v>
      </c>
      <c r="F708">
        <v>21</v>
      </c>
      <c r="G708">
        <v>19</v>
      </c>
      <c r="H708">
        <f t="shared" si="2"/>
        <v>2</v>
      </c>
      <c r="I708" s="1">
        <v>44946</v>
      </c>
      <c r="J708" t="s">
        <v>37</v>
      </c>
    </row>
    <row r="709" spans="1:10" x14ac:dyDescent="0.25">
      <c r="A709" t="s">
        <v>34</v>
      </c>
      <c r="B709" t="s">
        <v>21</v>
      </c>
      <c r="C709" t="s">
        <v>64</v>
      </c>
      <c r="D709" s="2">
        <v>50</v>
      </c>
      <c r="E709" s="2">
        <v>70</v>
      </c>
      <c r="F709">
        <v>0</v>
      </c>
      <c r="G709">
        <v>0</v>
      </c>
      <c r="H709">
        <f t="shared" si="2"/>
        <v>0</v>
      </c>
      <c r="I709" s="1">
        <v>44946</v>
      </c>
      <c r="J709" t="s">
        <v>37</v>
      </c>
    </row>
    <row r="710" spans="1:10" x14ac:dyDescent="0.25">
      <c r="A710" t="s">
        <v>18</v>
      </c>
      <c r="B710" t="s">
        <v>21</v>
      </c>
      <c r="C710" t="s">
        <v>65</v>
      </c>
      <c r="D710" s="2">
        <v>20</v>
      </c>
      <c r="E710" s="2">
        <v>30</v>
      </c>
      <c r="F710">
        <v>11</v>
      </c>
      <c r="G710">
        <v>11</v>
      </c>
      <c r="H710">
        <f t="shared" si="2"/>
        <v>0</v>
      </c>
      <c r="I710" s="1">
        <v>44946</v>
      </c>
      <c r="J710" t="s">
        <v>37</v>
      </c>
    </row>
    <row r="711" spans="1:10" x14ac:dyDescent="0.25">
      <c r="A711" t="s">
        <v>19</v>
      </c>
      <c r="B711" t="s">
        <v>21</v>
      </c>
      <c r="C711" t="s">
        <v>66</v>
      </c>
      <c r="D711" s="2">
        <v>10</v>
      </c>
      <c r="E711" s="2">
        <v>20</v>
      </c>
      <c r="F711">
        <v>7</v>
      </c>
      <c r="G711">
        <v>7</v>
      </c>
      <c r="H711">
        <f t="shared" si="2"/>
        <v>0</v>
      </c>
      <c r="I711" s="1">
        <v>44946</v>
      </c>
      <c r="J711" t="s">
        <v>37</v>
      </c>
    </row>
    <row r="712" spans="1:10" x14ac:dyDescent="0.25">
      <c r="A712" t="s">
        <v>20</v>
      </c>
      <c r="B712" t="s">
        <v>21</v>
      </c>
      <c r="C712" t="s">
        <v>67</v>
      </c>
      <c r="D712" s="2">
        <v>60</v>
      </c>
      <c r="E712" s="2">
        <v>100</v>
      </c>
      <c r="F712">
        <v>3</v>
      </c>
      <c r="G712">
        <v>3</v>
      </c>
      <c r="H712">
        <f t="shared" si="2"/>
        <v>0</v>
      </c>
      <c r="I712" s="1">
        <v>44946</v>
      </c>
      <c r="J712" t="s">
        <v>37</v>
      </c>
    </row>
    <row r="713" spans="1:10" x14ac:dyDescent="0.25">
      <c r="A713" t="s">
        <v>22</v>
      </c>
      <c r="B713" t="s">
        <v>24</v>
      </c>
      <c r="C713" t="s">
        <v>68</v>
      </c>
      <c r="D713" s="2">
        <v>50</v>
      </c>
      <c r="E713" s="2">
        <v>70</v>
      </c>
      <c r="F713">
        <v>3</v>
      </c>
      <c r="G713">
        <v>3</v>
      </c>
      <c r="H713">
        <f t="shared" si="2"/>
        <v>0</v>
      </c>
      <c r="I713" s="1">
        <v>44946</v>
      </c>
      <c r="J713" t="s">
        <v>37</v>
      </c>
    </row>
    <row r="714" spans="1:10" x14ac:dyDescent="0.25">
      <c r="A714" t="s">
        <v>25</v>
      </c>
      <c r="B714" t="s">
        <v>24</v>
      </c>
      <c r="C714" t="s">
        <v>69</v>
      </c>
      <c r="D714" s="2">
        <v>45</v>
      </c>
      <c r="E714" s="2">
        <v>65</v>
      </c>
      <c r="F714">
        <v>0</v>
      </c>
      <c r="G714">
        <v>0</v>
      </c>
      <c r="H714">
        <f t="shared" si="2"/>
        <v>0</v>
      </c>
      <c r="I714" s="1">
        <v>44946</v>
      </c>
      <c r="J714" t="s">
        <v>37</v>
      </c>
    </row>
    <row r="715" spans="1:10" x14ac:dyDescent="0.25">
      <c r="A715" t="s">
        <v>26</v>
      </c>
      <c r="B715" t="s">
        <v>24</v>
      </c>
      <c r="C715" t="s">
        <v>70</v>
      </c>
      <c r="D715" s="2">
        <v>50</v>
      </c>
      <c r="E715" s="2">
        <v>70</v>
      </c>
      <c r="F715">
        <v>0</v>
      </c>
      <c r="G715">
        <v>0</v>
      </c>
      <c r="H715">
        <f t="shared" si="2"/>
        <v>0</v>
      </c>
      <c r="I715" s="1">
        <v>44946</v>
      </c>
      <c r="J715" t="s">
        <v>37</v>
      </c>
    </row>
    <row r="716" spans="1:10" x14ac:dyDescent="0.25">
      <c r="A716" t="s">
        <v>27</v>
      </c>
      <c r="B716" t="s">
        <v>24</v>
      </c>
      <c r="C716" t="s">
        <v>71</v>
      </c>
      <c r="D716" s="2">
        <v>10</v>
      </c>
      <c r="E716" s="2">
        <v>15</v>
      </c>
      <c r="F716">
        <v>11</v>
      </c>
      <c r="G716">
        <v>0</v>
      </c>
      <c r="H716">
        <f t="shared" si="2"/>
        <v>11</v>
      </c>
      <c r="I716" s="1">
        <v>44946</v>
      </c>
      <c r="J716" t="s">
        <v>37</v>
      </c>
    </row>
    <row r="717" spans="1:10" x14ac:dyDescent="0.25">
      <c r="A717" t="s">
        <v>28</v>
      </c>
      <c r="B717" t="s">
        <v>24</v>
      </c>
      <c r="C717" t="s">
        <v>72</v>
      </c>
      <c r="D717" s="2">
        <v>20</v>
      </c>
      <c r="E717" s="2">
        <v>25</v>
      </c>
      <c r="F717">
        <v>10</v>
      </c>
      <c r="G717">
        <v>8</v>
      </c>
      <c r="H717">
        <f t="shared" si="2"/>
        <v>2</v>
      </c>
      <c r="I717" s="1">
        <v>44946</v>
      </c>
      <c r="J717" t="s">
        <v>37</v>
      </c>
    </row>
    <row r="718" spans="1:10" x14ac:dyDescent="0.25">
      <c r="A718" t="s">
        <v>29</v>
      </c>
      <c r="B718" t="s">
        <v>30</v>
      </c>
      <c r="C718" t="s">
        <v>73</v>
      </c>
      <c r="D718" s="2">
        <v>25</v>
      </c>
      <c r="E718" s="2">
        <v>30</v>
      </c>
      <c r="F718">
        <v>8</v>
      </c>
      <c r="G718">
        <v>12</v>
      </c>
      <c r="H718">
        <f t="shared" si="2"/>
        <v>-4</v>
      </c>
      <c r="I718" s="1">
        <v>44946</v>
      </c>
      <c r="J718" t="s">
        <v>37</v>
      </c>
    </row>
    <row r="719" spans="1:10" x14ac:dyDescent="0.25">
      <c r="A719" t="s">
        <v>31</v>
      </c>
      <c r="B719" t="s">
        <v>30</v>
      </c>
      <c r="C719" t="s">
        <v>74</v>
      </c>
      <c r="D719" s="2">
        <v>25</v>
      </c>
      <c r="E719" s="2">
        <v>30</v>
      </c>
      <c r="F719">
        <v>6</v>
      </c>
      <c r="G719">
        <v>2</v>
      </c>
      <c r="H719">
        <f t="shared" si="2"/>
        <v>4</v>
      </c>
      <c r="I719" s="1">
        <v>44946</v>
      </c>
      <c r="J719" t="s">
        <v>37</v>
      </c>
    </row>
    <row r="720" spans="1:10" x14ac:dyDescent="0.25">
      <c r="A720" t="s">
        <v>32</v>
      </c>
      <c r="B720" t="s">
        <v>30</v>
      </c>
      <c r="C720" t="s">
        <v>75</v>
      </c>
      <c r="D720" s="2">
        <v>25</v>
      </c>
      <c r="E720" s="2">
        <v>30</v>
      </c>
      <c r="F720">
        <v>5</v>
      </c>
      <c r="G720">
        <v>5</v>
      </c>
      <c r="H720">
        <f t="shared" si="2"/>
        <v>0</v>
      </c>
      <c r="I720" s="1">
        <v>44946</v>
      </c>
      <c r="J720" t="s">
        <v>37</v>
      </c>
    </row>
    <row r="721" spans="1:10" x14ac:dyDescent="0.25">
      <c r="A721" t="s">
        <v>33</v>
      </c>
      <c r="B721" t="s">
        <v>30</v>
      </c>
      <c r="C721" t="s">
        <v>76</v>
      </c>
      <c r="D721" s="2">
        <v>30</v>
      </c>
      <c r="E721" s="2">
        <v>35</v>
      </c>
      <c r="F721">
        <v>15</v>
      </c>
      <c r="G721">
        <v>11</v>
      </c>
      <c r="H721">
        <f t="shared" si="2"/>
        <v>4</v>
      </c>
      <c r="I721" s="1">
        <v>44946</v>
      </c>
      <c r="J721" t="s">
        <v>37</v>
      </c>
    </row>
    <row r="722" spans="1:10" x14ac:dyDescent="0.25">
      <c r="A722" t="s">
        <v>2</v>
      </c>
      <c r="B722" t="s">
        <v>3</v>
      </c>
      <c r="C722" t="s">
        <v>48</v>
      </c>
      <c r="D722" s="2">
        <v>100</v>
      </c>
      <c r="E722" s="2">
        <v>200</v>
      </c>
      <c r="F722">
        <v>2</v>
      </c>
      <c r="G722">
        <v>2</v>
      </c>
      <c r="H722">
        <f t="shared" si="2"/>
        <v>0</v>
      </c>
      <c r="I722" s="1">
        <v>44947</v>
      </c>
      <c r="J722" t="s">
        <v>38</v>
      </c>
    </row>
    <row r="723" spans="1:10" x14ac:dyDescent="0.25">
      <c r="A723" t="s">
        <v>7</v>
      </c>
      <c r="B723" t="s">
        <v>3</v>
      </c>
      <c r="C723" t="s">
        <v>77</v>
      </c>
      <c r="D723" s="2">
        <v>200</v>
      </c>
      <c r="E723" s="2">
        <v>300</v>
      </c>
      <c r="F723">
        <v>4</v>
      </c>
      <c r="G723">
        <v>2</v>
      </c>
      <c r="H723">
        <f t="shared" si="2"/>
        <v>2</v>
      </c>
      <c r="I723" s="1">
        <v>44947</v>
      </c>
      <c r="J723" t="s">
        <v>38</v>
      </c>
    </row>
    <row r="724" spans="1:10" x14ac:dyDescent="0.25">
      <c r="A724" t="s">
        <v>23</v>
      </c>
      <c r="B724" t="s">
        <v>3</v>
      </c>
      <c r="C724" t="s">
        <v>52</v>
      </c>
      <c r="D724" s="2">
        <v>150</v>
      </c>
      <c r="E724" s="2">
        <v>250</v>
      </c>
      <c r="F724">
        <v>3</v>
      </c>
      <c r="G724">
        <v>3</v>
      </c>
      <c r="H724">
        <f t="shared" si="2"/>
        <v>0</v>
      </c>
      <c r="I724" s="1">
        <v>44947</v>
      </c>
      <c r="J724" t="s">
        <v>38</v>
      </c>
    </row>
    <row r="725" spans="1:10" x14ac:dyDescent="0.25">
      <c r="A725" t="s">
        <v>9</v>
      </c>
      <c r="B725" t="s">
        <v>3</v>
      </c>
      <c r="C725" t="s">
        <v>53</v>
      </c>
      <c r="D725" s="2">
        <v>100</v>
      </c>
      <c r="E725" s="2">
        <v>200</v>
      </c>
      <c r="F725">
        <v>3</v>
      </c>
      <c r="G725">
        <v>1</v>
      </c>
      <c r="H725">
        <f t="shared" si="2"/>
        <v>2</v>
      </c>
      <c r="I725" s="1">
        <v>44947</v>
      </c>
      <c r="J725" t="s">
        <v>38</v>
      </c>
    </row>
    <row r="726" spans="1:10" x14ac:dyDescent="0.25">
      <c r="A726" t="s">
        <v>2</v>
      </c>
      <c r="B726" t="s">
        <v>12</v>
      </c>
      <c r="C726" t="s">
        <v>49</v>
      </c>
      <c r="D726" s="2">
        <v>250</v>
      </c>
      <c r="E726" s="2">
        <v>350</v>
      </c>
      <c r="F726">
        <v>1</v>
      </c>
      <c r="G726">
        <v>0</v>
      </c>
      <c r="H726">
        <f t="shared" si="2"/>
        <v>1</v>
      </c>
      <c r="I726" s="1">
        <v>44947</v>
      </c>
      <c r="J726" t="s">
        <v>38</v>
      </c>
    </row>
    <row r="727" spans="1:10" x14ac:dyDescent="0.25">
      <c r="A727" t="s">
        <v>7</v>
      </c>
      <c r="B727" t="s">
        <v>12</v>
      </c>
      <c r="C727" t="s">
        <v>54</v>
      </c>
      <c r="D727" s="2">
        <v>300</v>
      </c>
      <c r="E727" s="2">
        <v>400</v>
      </c>
      <c r="F727">
        <v>0</v>
      </c>
      <c r="G727">
        <v>0</v>
      </c>
      <c r="H727">
        <f t="shared" si="2"/>
        <v>0</v>
      </c>
      <c r="I727" s="1">
        <v>44947</v>
      </c>
      <c r="J727" t="s">
        <v>38</v>
      </c>
    </row>
    <row r="728" spans="1:10" x14ac:dyDescent="0.25">
      <c r="A728" t="s">
        <v>8</v>
      </c>
      <c r="B728" t="s">
        <v>12</v>
      </c>
      <c r="C728" t="s">
        <v>55</v>
      </c>
      <c r="D728" s="2">
        <v>250</v>
      </c>
      <c r="E728" s="2">
        <v>350</v>
      </c>
      <c r="F728">
        <v>2</v>
      </c>
      <c r="G728">
        <v>1</v>
      </c>
      <c r="H728">
        <f t="shared" si="2"/>
        <v>1</v>
      </c>
      <c r="I728" s="1">
        <v>44947</v>
      </c>
      <c r="J728" t="s">
        <v>38</v>
      </c>
    </row>
    <row r="729" spans="1:10" x14ac:dyDescent="0.25">
      <c r="A729" t="s">
        <v>9</v>
      </c>
      <c r="B729" t="s">
        <v>12</v>
      </c>
      <c r="C729" t="s">
        <v>56</v>
      </c>
      <c r="D729" s="2">
        <v>250</v>
      </c>
      <c r="E729" s="2">
        <v>350</v>
      </c>
      <c r="F729">
        <v>2</v>
      </c>
      <c r="G729">
        <v>1</v>
      </c>
      <c r="H729">
        <f t="shared" si="2"/>
        <v>1</v>
      </c>
      <c r="I729" s="1">
        <v>44947</v>
      </c>
      <c r="J729" t="s">
        <v>38</v>
      </c>
    </row>
    <row r="730" spans="1:10" x14ac:dyDescent="0.25">
      <c r="A730" t="s">
        <v>13</v>
      </c>
      <c r="B730" t="s">
        <v>12</v>
      </c>
      <c r="C730" t="s">
        <v>57</v>
      </c>
      <c r="D730" s="2">
        <v>300</v>
      </c>
      <c r="E730" s="2">
        <v>450</v>
      </c>
      <c r="F730">
        <v>1</v>
      </c>
      <c r="G730">
        <v>1</v>
      </c>
      <c r="H730">
        <f t="shared" si="2"/>
        <v>0</v>
      </c>
      <c r="I730" s="1">
        <v>44947</v>
      </c>
      <c r="J730" t="s">
        <v>38</v>
      </c>
    </row>
    <row r="731" spans="1:10" x14ac:dyDescent="0.25">
      <c r="A731" t="s">
        <v>14</v>
      </c>
      <c r="B731" t="s">
        <v>16</v>
      </c>
      <c r="C731" t="s">
        <v>50</v>
      </c>
      <c r="D731" s="2">
        <v>320</v>
      </c>
      <c r="E731" s="2">
        <v>400</v>
      </c>
      <c r="F731">
        <v>0</v>
      </c>
      <c r="G731">
        <v>0</v>
      </c>
      <c r="H731">
        <f t="shared" si="2"/>
        <v>0</v>
      </c>
      <c r="I731" s="1">
        <v>44947</v>
      </c>
      <c r="J731" t="s">
        <v>38</v>
      </c>
    </row>
    <row r="732" spans="1:10" x14ac:dyDescent="0.25">
      <c r="A732" t="s">
        <v>15</v>
      </c>
      <c r="B732" t="s">
        <v>16</v>
      </c>
      <c r="C732" t="s">
        <v>58</v>
      </c>
      <c r="D732" s="2">
        <v>100</v>
      </c>
      <c r="E732" s="2">
        <v>150</v>
      </c>
      <c r="F732">
        <v>3</v>
      </c>
      <c r="G732">
        <v>3</v>
      </c>
      <c r="H732">
        <f t="shared" si="2"/>
        <v>0</v>
      </c>
      <c r="I732" s="1">
        <v>44947</v>
      </c>
      <c r="J732" t="s">
        <v>38</v>
      </c>
    </row>
    <row r="733" spans="1:10" x14ac:dyDescent="0.25">
      <c r="A733" t="s">
        <v>2</v>
      </c>
      <c r="B733" t="s">
        <v>21</v>
      </c>
      <c r="C733" t="s">
        <v>51</v>
      </c>
      <c r="D733" s="2">
        <v>25</v>
      </c>
      <c r="E733" s="2">
        <v>40</v>
      </c>
      <c r="F733">
        <v>15</v>
      </c>
      <c r="G733">
        <v>11</v>
      </c>
      <c r="H733">
        <f t="shared" si="2"/>
        <v>4</v>
      </c>
      <c r="I733" s="1">
        <v>44947</v>
      </c>
      <c r="J733" t="s">
        <v>38</v>
      </c>
    </row>
    <row r="734" spans="1:10" x14ac:dyDescent="0.25">
      <c r="A734" t="s">
        <v>7</v>
      </c>
      <c r="B734" t="s">
        <v>21</v>
      </c>
      <c r="C734" t="s">
        <v>59</v>
      </c>
      <c r="D734" s="2">
        <v>30</v>
      </c>
      <c r="E734" s="2">
        <v>50</v>
      </c>
      <c r="F734">
        <v>10</v>
      </c>
      <c r="G734">
        <v>2</v>
      </c>
      <c r="H734">
        <f t="shared" si="2"/>
        <v>8</v>
      </c>
      <c r="I734" s="1">
        <v>44947</v>
      </c>
      <c r="J734" t="s">
        <v>38</v>
      </c>
    </row>
    <row r="735" spans="1:10" x14ac:dyDescent="0.25">
      <c r="A735" t="s">
        <v>9</v>
      </c>
      <c r="B735" t="s">
        <v>21</v>
      </c>
      <c r="C735" t="s">
        <v>60</v>
      </c>
      <c r="D735" s="2">
        <v>25</v>
      </c>
      <c r="E735" s="2">
        <v>40</v>
      </c>
      <c r="F735">
        <v>9</v>
      </c>
      <c r="G735">
        <v>6</v>
      </c>
      <c r="H735">
        <f t="shared" si="2"/>
        <v>3</v>
      </c>
      <c r="I735" s="1">
        <v>44947</v>
      </c>
      <c r="J735" t="s">
        <v>38</v>
      </c>
    </row>
    <row r="736" spans="1:10" x14ac:dyDescent="0.25">
      <c r="A736" t="s">
        <v>23</v>
      </c>
      <c r="B736" t="s">
        <v>21</v>
      </c>
      <c r="C736" t="s">
        <v>61</v>
      </c>
      <c r="D736" s="2">
        <v>25</v>
      </c>
      <c r="E736" s="2">
        <v>40</v>
      </c>
      <c r="F736">
        <v>10</v>
      </c>
      <c r="G736">
        <v>10</v>
      </c>
      <c r="H736">
        <f t="shared" si="2"/>
        <v>0</v>
      </c>
      <c r="I736" s="1">
        <v>44947</v>
      </c>
      <c r="J736" t="s">
        <v>38</v>
      </c>
    </row>
    <row r="737" spans="1:10" x14ac:dyDescent="0.25">
      <c r="A737" t="s">
        <v>13</v>
      </c>
      <c r="B737" t="s">
        <v>21</v>
      </c>
      <c r="C737" t="s">
        <v>62</v>
      </c>
      <c r="D737" s="2">
        <v>30</v>
      </c>
      <c r="E737" s="2">
        <v>55</v>
      </c>
      <c r="F737">
        <v>1</v>
      </c>
      <c r="G737">
        <v>0</v>
      </c>
      <c r="H737">
        <f t="shared" si="2"/>
        <v>1</v>
      </c>
      <c r="I737" s="1">
        <v>44947</v>
      </c>
      <c r="J737" t="s">
        <v>38</v>
      </c>
    </row>
    <row r="738" spans="1:10" x14ac:dyDescent="0.25">
      <c r="A738" t="s">
        <v>17</v>
      </c>
      <c r="B738" t="s">
        <v>21</v>
      </c>
      <c r="C738" t="s">
        <v>63</v>
      </c>
      <c r="D738" s="2">
        <v>40</v>
      </c>
      <c r="E738" s="2">
        <v>65</v>
      </c>
      <c r="F738">
        <v>19</v>
      </c>
      <c r="G738">
        <v>6</v>
      </c>
      <c r="H738">
        <f t="shared" si="2"/>
        <v>13</v>
      </c>
      <c r="I738" s="1">
        <v>44947</v>
      </c>
      <c r="J738" t="s">
        <v>38</v>
      </c>
    </row>
    <row r="739" spans="1:10" x14ac:dyDescent="0.25">
      <c r="A739" t="s">
        <v>34</v>
      </c>
      <c r="B739" t="s">
        <v>21</v>
      </c>
      <c r="C739" t="s">
        <v>64</v>
      </c>
      <c r="D739" s="2">
        <v>50</v>
      </c>
      <c r="E739" s="2">
        <v>70</v>
      </c>
      <c r="F739">
        <v>0</v>
      </c>
      <c r="G739">
        <v>0</v>
      </c>
      <c r="H739">
        <f t="shared" si="2"/>
        <v>0</v>
      </c>
      <c r="I739" s="1">
        <v>44947</v>
      </c>
      <c r="J739" t="s">
        <v>38</v>
      </c>
    </row>
    <row r="740" spans="1:10" x14ac:dyDescent="0.25">
      <c r="A740" t="s">
        <v>18</v>
      </c>
      <c r="B740" t="s">
        <v>21</v>
      </c>
      <c r="C740" t="s">
        <v>65</v>
      </c>
      <c r="D740" s="2">
        <v>20</v>
      </c>
      <c r="E740" s="2">
        <v>30</v>
      </c>
      <c r="F740">
        <v>11</v>
      </c>
      <c r="G740">
        <v>10</v>
      </c>
      <c r="H740">
        <f t="shared" si="2"/>
        <v>1</v>
      </c>
      <c r="I740" s="1">
        <v>44947</v>
      </c>
      <c r="J740" t="s">
        <v>38</v>
      </c>
    </row>
    <row r="741" spans="1:10" x14ac:dyDescent="0.25">
      <c r="A741" t="s">
        <v>19</v>
      </c>
      <c r="B741" t="s">
        <v>21</v>
      </c>
      <c r="C741" t="s">
        <v>66</v>
      </c>
      <c r="D741" s="2">
        <v>10</v>
      </c>
      <c r="E741" s="2">
        <v>20</v>
      </c>
      <c r="F741">
        <v>7</v>
      </c>
      <c r="G741">
        <v>4</v>
      </c>
      <c r="H741">
        <f t="shared" si="2"/>
        <v>3</v>
      </c>
      <c r="I741" s="1">
        <v>44947</v>
      </c>
      <c r="J741" t="s">
        <v>38</v>
      </c>
    </row>
    <row r="742" spans="1:10" x14ac:dyDescent="0.25">
      <c r="A742" t="s">
        <v>20</v>
      </c>
      <c r="B742" t="s">
        <v>21</v>
      </c>
      <c r="C742" t="s">
        <v>67</v>
      </c>
      <c r="D742" s="2">
        <v>60</v>
      </c>
      <c r="E742" s="2">
        <v>100</v>
      </c>
      <c r="F742">
        <v>3</v>
      </c>
      <c r="G742">
        <v>2</v>
      </c>
      <c r="H742">
        <f t="shared" si="2"/>
        <v>1</v>
      </c>
      <c r="I742" s="1">
        <v>44947</v>
      </c>
      <c r="J742" t="s">
        <v>38</v>
      </c>
    </row>
    <row r="743" spans="1:10" x14ac:dyDescent="0.25">
      <c r="A743" t="s">
        <v>22</v>
      </c>
      <c r="B743" t="s">
        <v>24</v>
      </c>
      <c r="C743" t="s">
        <v>68</v>
      </c>
      <c r="D743" s="2">
        <v>50</v>
      </c>
      <c r="E743" s="2">
        <v>70</v>
      </c>
      <c r="F743">
        <v>3</v>
      </c>
      <c r="G743">
        <v>0</v>
      </c>
      <c r="H743">
        <f t="shared" si="2"/>
        <v>3</v>
      </c>
      <c r="I743" s="1">
        <v>44947</v>
      </c>
      <c r="J743" t="s">
        <v>38</v>
      </c>
    </row>
    <row r="744" spans="1:10" x14ac:dyDescent="0.25">
      <c r="A744" t="s">
        <v>25</v>
      </c>
      <c r="B744" t="s">
        <v>24</v>
      </c>
      <c r="C744" t="s">
        <v>69</v>
      </c>
      <c r="D744" s="2">
        <v>45</v>
      </c>
      <c r="E744" s="2">
        <v>65</v>
      </c>
      <c r="F744">
        <v>0</v>
      </c>
      <c r="G744">
        <v>0</v>
      </c>
      <c r="H744">
        <f t="shared" si="2"/>
        <v>0</v>
      </c>
      <c r="I744" s="1">
        <v>44947</v>
      </c>
      <c r="J744" t="s">
        <v>38</v>
      </c>
    </row>
    <row r="745" spans="1:10" x14ac:dyDescent="0.25">
      <c r="A745" t="s">
        <v>26</v>
      </c>
      <c r="B745" t="s">
        <v>24</v>
      </c>
      <c r="C745" t="s">
        <v>70</v>
      </c>
      <c r="D745" s="2">
        <v>50</v>
      </c>
      <c r="E745" s="2">
        <v>70</v>
      </c>
      <c r="F745">
        <v>0</v>
      </c>
      <c r="G745">
        <v>0</v>
      </c>
      <c r="H745">
        <f t="shared" si="2"/>
        <v>0</v>
      </c>
      <c r="I745" s="1">
        <v>44947</v>
      </c>
      <c r="J745" t="s">
        <v>38</v>
      </c>
    </row>
    <row r="746" spans="1:10" x14ac:dyDescent="0.25">
      <c r="A746" t="s">
        <v>27</v>
      </c>
      <c r="B746" t="s">
        <v>24</v>
      </c>
      <c r="C746" t="s">
        <v>71</v>
      </c>
      <c r="D746" s="2">
        <v>10</v>
      </c>
      <c r="E746" s="2">
        <v>15</v>
      </c>
      <c r="F746">
        <v>10</v>
      </c>
      <c r="G746">
        <v>7</v>
      </c>
      <c r="H746">
        <f t="shared" si="2"/>
        <v>3</v>
      </c>
      <c r="I746" s="1">
        <v>44947</v>
      </c>
      <c r="J746" t="s">
        <v>38</v>
      </c>
    </row>
    <row r="747" spans="1:10" x14ac:dyDescent="0.25">
      <c r="A747" t="s">
        <v>28</v>
      </c>
      <c r="B747" t="s">
        <v>24</v>
      </c>
      <c r="C747" t="s">
        <v>72</v>
      </c>
      <c r="D747" s="2">
        <v>20</v>
      </c>
      <c r="E747" s="2">
        <v>25</v>
      </c>
      <c r="F747">
        <v>8</v>
      </c>
      <c r="G747">
        <v>3</v>
      </c>
      <c r="H747">
        <f t="shared" si="2"/>
        <v>5</v>
      </c>
      <c r="I747" s="1">
        <v>44947</v>
      </c>
      <c r="J747" t="s">
        <v>38</v>
      </c>
    </row>
    <row r="748" spans="1:10" x14ac:dyDescent="0.25">
      <c r="A748" t="s">
        <v>29</v>
      </c>
      <c r="B748" t="s">
        <v>30</v>
      </c>
      <c r="C748" t="s">
        <v>73</v>
      </c>
      <c r="D748" s="2">
        <v>25</v>
      </c>
      <c r="E748" s="2">
        <v>30</v>
      </c>
      <c r="F748">
        <v>12</v>
      </c>
      <c r="G748">
        <v>10</v>
      </c>
      <c r="H748">
        <f t="shared" si="2"/>
        <v>2</v>
      </c>
      <c r="I748" s="1">
        <v>44947</v>
      </c>
      <c r="J748" t="s">
        <v>38</v>
      </c>
    </row>
    <row r="749" spans="1:10" x14ac:dyDescent="0.25">
      <c r="A749" t="s">
        <v>31</v>
      </c>
      <c r="B749" t="s">
        <v>30</v>
      </c>
      <c r="C749" t="s">
        <v>74</v>
      </c>
      <c r="D749" s="2">
        <v>25</v>
      </c>
      <c r="E749" s="2">
        <v>30</v>
      </c>
      <c r="F749">
        <v>2</v>
      </c>
      <c r="G749">
        <v>2</v>
      </c>
      <c r="H749">
        <f t="shared" si="2"/>
        <v>0</v>
      </c>
      <c r="I749" s="1">
        <v>44947</v>
      </c>
      <c r="J749" t="s">
        <v>38</v>
      </c>
    </row>
    <row r="750" spans="1:10" x14ac:dyDescent="0.25">
      <c r="A750" t="s">
        <v>32</v>
      </c>
      <c r="B750" t="s">
        <v>30</v>
      </c>
      <c r="C750" t="s">
        <v>75</v>
      </c>
      <c r="D750" s="2">
        <v>25</v>
      </c>
      <c r="E750" s="2">
        <v>30</v>
      </c>
      <c r="F750">
        <v>5</v>
      </c>
      <c r="G750">
        <v>5</v>
      </c>
      <c r="H750">
        <f t="shared" si="2"/>
        <v>0</v>
      </c>
      <c r="I750" s="1">
        <v>44947</v>
      </c>
      <c r="J750" t="s">
        <v>38</v>
      </c>
    </row>
    <row r="751" spans="1:10" x14ac:dyDescent="0.25">
      <c r="A751" t="s">
        <v>33</v>
      </c>
      <c r="B751" t="s">
        <v>30</v>
      </c>
      <c r="C751" t="s">
        <v>76</v>
      </c>
      <c r="D751" s="2">
        <v>30</v>
      </c>
      <c r="E751" s="2">
        <v>35</v>
      </c>
      <c r="F751">
        <v>20</v>
      </c>
      <c r="G751">
        <v>10</v>
      </c>
      <c r="H751">
        <f t="shared" si="2"/>
        <v>10</v>
      </c>
      <c r="I751" s="1">
        <v>44947</v>
      </c>
      <c r="J751" t="s">
        <v>38</v>
      </c>
    </row>
    <row r="752" spans="1:10" x14ac:dyDescent="0.25">
      <c r="A752" t="s">
        <v>2</v>
      </c>
      <c r="B752" t="s">
        <v>3</v>
      </c>
      <c r="C752" t="s">
        <v>48</v>
      </c>
      <c r="D752" s="2">
        <v>100</v>
      </c>
      <c r="E752" s="2">
        <v>200</v>
      </c>
      <c r="F752">
        <v>2</v>
      </c>
      <c r="G752">
        <v>0</v>
      </c>
      <c r="H752">
        <f t="shared" si="2"/>
        <v>2</v>
      </c>
      <c r="I752" s="1">
        <v>44948</v>
      </c>
      <c r="J752" t="s">
        <v>6</v>
      </c>
    </row>
    <row r="753" spans="1:10" x14ac:dyDescent="0.25">
      <c r="A753" t="s">
        <v>7</v>
      </c>
      <c r="B753" t="s">
        <v>3</v>
      </c>
      <c r="C753" t="s">
        <v>77</v>
      </c>
      <c r="D753" s="2">
        <v>200</v>
      </c>
      <c r="E753" s="2">
        <v>300</v>
      </c>
      <c r="F753">
        <v>2</v>
      </c>
      <c r="G753">
        <v>2</v>
      </c>
      <c r="H753">
        <f t="shared" si="2"/>
        <v>0</v>
      </c>
      <c r="I753" s="1">
        <v>44948</v>
      </c>
      <c r="J753" t="s">
        <v>6</v>
      </c>
    </row>
    <row r="754" spans="1:10" x14ac:dyDescent="0.25">
      <c r="A754" t="s">
        <v>23</v>
      </c>
      <c r="B754" t="s">
        <v>3</v>
      </c>
      <c r="C754" t="s">
        <v>52</v>
      </c>
      <c r="D754" s="2">
        <v>150</v>
      </c>
      <c r="E754" s="2">
        <v>250</v>
      </c>
      <c r="F754">
        <v>3</v>
      </c>
      <c r="G754">
        <v>2</v>
      </c>
      <c r="H754">
        <f t="shared" si="2"/>
        <v>1</v>
      </c>
      <c r="I754" s="1">
        <v>44948</v>
      </c>
      <c r="J754" t="s">
        <v>6</v>
      </c>
    </row>
    <row r="755" spans="1:10" x14ac:dyDescent="0.25">
      <c r="A755" t="s">
        <v>9</v>
      </c>
      <c r="B755" t="s">
        <v>3</v>
      </c>
      <c r="C755" t="s">
        <v>53</v>
      </c>
      <c r="D755" s="2">
        <v>100</v>
      </c>
      <c r="E755" s="2">
        <v>200</v>
      </c>
      <c r="F755">
        <v>1</v>
      </c>
      <c r="G755">
        <v>1</v>
      </c>
      <c r="H755">
        <f t="shared" si="2"/>
        <v>0</v>
      </c>
      <c r="I755" s="1">
        <v>44948</v>
      </c>
      <c r="J755" t="s">
        <v>6</v>
      </c>
    </row>
    <row r="756" spans="1:10" x14ac:dyDescent="0.25">
      <c r="A756" t="s">
        <v>2</v>
      </c>
      <c r="B756" t="s">
        <v>12</v>
      </c>
      <c r="C756" t="s">
        <v>49</v>
      </c>
      <c r="D756" s="2">
        <v>250</v>
      </c>
      <c r="E756" s="2">
        <v>350</v>
      </c>
      <c r="F756">
        <v>2</v>
      </c>
      <c r="G756">
        <v>1</v>
      </c>
      <c r="H756">
        <f t="shared" si="2"/>
        <v>1</v>
      </c>
      <c r="I756" s="1">
        <v>44948</v>
      </c>
      <c r="J756" t="s">
        <v>6</v>
      </c>
    </row>
    <row r="757" spans="1:10" x14ac:dyDescent="0.25">
      <c r="A757" t="s">
        <v>7</v>
      </c>
      <c r="B757" t="s">
        <v>12</v>
      </c>
      <c r="C757" t="s">
        <v>54</v>
      </c>
      <c r="D757" s="2">
        <v>300</v>
      </c>
      <c r="E757" s="2">
        <v>400</v>
      </c>
      <c r="F757">
        <v>1</v>
      </c>
      <c r="G757">
        <v>1</v>
      </c>
      <c r="H757">
        <f t="shared" si="2"/>
        <v>0</v>
      </c>
      <c r="I757" s="1">
        <v>44948</v>
      </c>
      <c r="J757" t="s">
        <v>6</v>
      </c>
    </row>
    <row r="758" spans="1:10" x14ac:dyDescent="0.25">
      <c r="A758" t="s">
        <v>8</v>
      </c>
      <c r="B758" t="s">
        <v>12</v>
      </c>
      <c r="C758" t="s">
        <v>55</v>
      </c>
      <c r="D758" s="2">
        <v>250</v>
      </c>
      <c r="E758" s="2">
        <v>350</v>
      </c>
      <c r="F758">
        <v>2</v>
      </c>
      <c r="G758">
        <v>1</v>
      </c>
      <c r="H758">
        <f t="shared" si="2"/>
        <v>1</v>
      </c>
      <c r="I758" s="1">
        <v>44948</v>
      </c>
      <c r="J758" t="s">
        <v>6</v>
      </c>
    </row>
    <row r="759" spans="1:10" x14ac:dyDescent="0.25">
      <c r="A759" t="s">
        <v>9</v>
      </c>
      <c r="B759" t="s">
        <v>12</v>
      </c>
      <c r="C759" t="s">
        <v>56</v>
      </c>
      <c r="D759" s="2">
        <v>250</v>
      </c>
      <c r="E759" s="2">
        <v>350</v>
      </c>
      <c r="F759">
        <v>1</v>
      </c>
      <c r="G759">
        <v>1</v>
      </c>
      <c r="H759">
        <f t="shared" si="2"/>
        <v>0</v>
      </c>
      <c r="I759" s="1">
        <v>44948</v>
      </c>
      <c r="J759" t="s">
        <v>6</v>
      </c>
    </row>
    <row r="760" spans="1:10" x14ac:dyDescent="0.25">
      <c r="A760" t="s">
        <v>13</v>
      </c>
      <c r="B760" t="s">
        <v>12</v>
      </c>
      <c r="C760" t="s">
        <v>57</v>
      </c>
      <c r="D760" s="2">
        <v>300</v>
      </c>
      <c r="E760" s="2">
        <v>450</v>
      </c>
      <c r="F760">
        <v>1</v>
      </c>
      <c r="G760">
        <v>0</v>
      </c>
      <c r="H760">
        <f t="shared" si="2"/>
        <v>1</v>
      </c>
      <c r="I760" s="1">
        <v>44948</v>
      </c>
      <c r="J760" t="s">
        <v>6</v>
      </c>
    </row>
    <row r="761" spans="1:10" x14ac:dyDescent="0.25">
      <c r="A761" t="s">
        <v>14</v>
      </c>
      <c r="B761" t="s">
        <v>16</v>
      </c>
      <c r="C761" t="s">
        <v>50</v>
      </c>
      <c r="D761" s="2">
        <v>320</v>
      </c>
      <c r="E761" s="2">
        <v>400</v>
      </c>
      <c r="F761">
        <v>0</v>
      </c>
      <c r="G761">
        <v>0</v>
      </c>
      <c r="H761">
        <f t="shared" si="2"/>
        <v>0</v>
      </c>
      <c r="I761" s="1">
        <v>44948</v>
      </c>
      <c r="J761" t="s">
        <v>6</v>
      </c>
    </row>
    <row r="762" spans="1:10" x14ac:dyDescent="0.25">
      <c r="A762" t="s">
        <v>15</v>
      </c>
      <c r="B762" t="s">
        <v>16</v>
      </c>
      <c r="C762" t="s">
        <v>58</v>
      </c>
      <c r="D762" s="2">
        <v>100</v>
      </c>
      <c r="E762" s="2">
        <v>150</v>
      </c>
      <c r="F762">
        <v>3</v>
      </c>
      <c r="G762">
        <v>3</v>
      </c>
      <c r="H762">
        <f t="shared" si="2"/>
        <v>0</v>
      </c>
      <c r="I762" s="1">
        <v>44948</v>
      </c>
      <c r="J762" t="s">
        <v>6</v>
      </c>
    </row>
    <row r="763" spans="1:10" x14ac:dyDescent="0.25">
      <c r="A763" t="s">
        <v>2</v>
      </c>
      <c r="B763" t="s">
        <v>21</v>
      </c>
      <c r="C763" t="s">
        <v>51</v>
      </c>
      <c r="D763" s="2">
        <v>25</v>
      </c>
      <c r="E763" s="2">
        <v>40</v>
      </c>
      <c r="F763">
        <v>11</v>
      </c>
      <c r="G763">
        <v>5</v>
      </c>
      <c r="H763">
        <f t="shared" si="2"/>
        <v>6</v>
      </c>
      <c r="I763" s="1">
        <v>44948</v>
      </c>
      <c r="J763" t="s">
        <v>6</v>
      </c>
    </row>
    <row r="764" spans="1:10" x14ac:dyDescent="0.25">
      <c r="A764" t="s">
        <v>7</v>
      </c>
      <c r="B764" t="s">
        <v>21</v>
      </c>
      <c r="C764" t="s">
        <v>59</v>
      </c>
      <c r="D764" s="2">
        <v>30</v>
      </c>
      <c r="E764" s="2">
        <v>50</v>
      </c>
      <c r="F764">
        <v>2</v>
      </c>
      <c r="G764">
        <v>0</v>
      </c>
      <c r="H764">
        <f t="shared" si="2"/>
        <v>2</v>
      </c>
      <c r="I764" s="1">
        <v>44948</v>
      </c>
      <c r="J764" t="s">
        <v>6</v>
      </c>
    </row>
    <row r="765" spans="1:10" x14ac:dyDescent="0.25">
      <c r="A765" t="s">
        <v>9</v>
      </c>
      <c r="B765" t="s">
        <v>21</v>
      </c>
      <c r="C765" t="s">
        <v>60</v>
      </c>
      <c r="D765" s="2">
        <v>25</v>
      </c>
      <c r="E765" s="2">
        <v>40</v>
      </c>
      <c r="F765">
        <v>6</v>
      </c>
      <c r="G765">
        <v>6</v>
      </c>
      <c r="H765">
        <f t="shared" si="2"/>
        <v>0</v>
      </c>
      <c r="I765" s="1">
        <v>44948</v>
      </c>
      <c r="J765" t="s">
        <v>6</v>
      </c>
    </row>
    <row r="766" spans="1:10" x14ac:dyDescent="0.25">
      <c r="A766" t="s">
        <v>23</v>
      </c>
      <c r="B766" t="s">
        <v>21</v>
      </c>
      <c r="C766" t="s">
        <v>61</v>
      </c>
      <c r="D766" s="2">
        <v>25</v>
      </c>
      <c r="E766" s="2">
        <v>40</v>
      </c>
      <c r="F766">
        <v>10</v>
      </c>
      <c r="G766">
        <v>4</v>
      </c>
      <c r="H766">
        <f t="shared" si="2"/>
        <v>6</v>
      </c>
      <c r="I766" s="1">
        <v>44948</v>
      </c>
      <c r="J766" t="s">
        <v>6</v>
      </c>
    </row>
    <row r="767" spans="1:10" x14ac:dyDescent="0.25">
      <c r="A767" t="s">
        <v>13</v>
      </c>
      <c r="B767" t="s">
        <v>21</v>
      </c>
      <c r="C767" t="s">
        <v>62</v>
      </c>
      <c r="D767" s="2">
        <v>30</v>
      </c>
      <c r="E767" s="2">
        <v>55</v>
      </c>
      <c r="F767">
        <v>0</v>
      </c>
      <c r="G767">
        <v>0</v>
      </c>
      <c r="H767">
        <f t="shared" si="2"/>
        <v>0</v>
      </c>
      <c r="I767" s="1">
        <v>44948</v>
      </c>
      <c r="J767" t="s">
        <v>6</v>
      </c>
    </row>
    <row r="768" spans="1:10" x14ac:dyDescent="0.25">
      <c r="A768" t="s">
        <v>17</v>
      </c>
      <c r="B768" t="s">
        <v>21</v>
      </c>
      <c r="C768" t="s">
        <v>63</v>
      </c>
      <c r="D768" s="2">
        <v>40</v>
      </c>
      <c r="E768" s="2">
        <v>65</v>
      </c>
      <c r="F768">
        <v>6</v>
      </c>
      <c r="G768">
        <v>5</v>
      </c>
      <c r="H768">
        <f t="shared" si="2"/>
        <v>1</v>
      </c>
      <c r="I768" s="1">
        <v>44948</v>
      </c>
      <c r="J768" t="s">
        <v>6</v>
      </c>
    </row>
    <row r="769" spans="1:10" x14ac:dyDescent="0.25">
      <c r="A769" t="s">
        <v>34</v>
      </c>
      <c r="B769" t="s">
        <v>21</v>
      </c>
      <c r="C769" t="s">
        <v>64</v>
      </c>
      <c r="D769" s="2">
        <v>50</v>
      </c>
      <c r="E769" s="2">
        <v>70</v>
      </c>
      <c r="F769">
        <v>0</v>
      </c>
      <c r="G769">
        <v>0</v>
      </c>
      <c r="H769">
        <f t="shared" ref="H769:H841" si="3">F769-G769</f>
        <v>0</v>
      </c>
      <c r="I769" s="1">
        <v>44948</v>
      </c>
      <c r="J769" t="s">
        <v>6</v>
      </c>
    </row>
    <row r="770" spans="1:10" x14ac:dyDescent="0.25">
      <c r="A770" t="s">
        <v>18</v>
      </c>
      <c r="B770" t="s">
        <v>21</v>
      </c>
      <c r="C770" t="s">
        <v>65</v>
      </c>
      <c r="D770" s="2">
        <v>20</v>
      </c>
      <c r="E770" s="2">
        <v>30</v>
      </c>
      <c r="F770">
        <v>10</v>
      </c>
      <c r="G770">
        <v>10</v>
      </c>
      <c r="H770">
        <f t="shared" si="3"/>
        <v>0</v>
      </c>
      <c r="I770" s="1">
        <v>44948</v>
      </c>
      <c r="J770" t="s">
        <v>6</v>
      </c>
    </row>
    <row r="771" spans="1:10" x14ac:dyDescent="0.25">
      <c r="A771" t="s">
        <v>19</v>
      </c>
      <c r="B771" t="s">
        <v>21</v>
      </c>
      <c r="C771" t="s">
        <v>66</v>
      </c>
      <c r="D771" s="2">
        <v>10</v>
      </c>
      <c r="E771" s="2">
        <v>20</v>
      </c>
      <c r="F771">
        <v>4</v>
      </c>
      <c r="G771">
        <v>4</v>
      </c>
      <c r="H771">
        <f t="shared" si="3"/>
        <v>0</v>
      </c>
      <c r="I771" s="1">
        <v>44948</v>
      </c>
      <c r="J771" t="s">
        <v>6</v>
      </c>
    </row>
    <row r="772" spans="1:10" x14ac:dyDescent="0.25">
      <c r="A772" t="s">
        <v>20</v>
      </c>
      <c r="B772" t="s">
        <v>21</v>
      </c>
      <c r="C772" t="s">
        <v>67</v>
      </c>
      <c r="D772" s="2">
        <v>60</v>
      </c>
      <c r="E772" s="2">
        <v>100</v>
      </c>
      <c r="F772">
        <v>2</v>
      </c>
      <c r="G772">
        <v>2</v>
      </c>
      <c r="H772">
        <f t="shared" si="3"/>
        <v>0</v>
      </c>
      <c r="I772" s="1">
        <v>44948</v>
      </c>
      <c r="J772" t="s">
        <v>6</v>
      </c>
    </row>
    <row r="773" spans="1:10" x14ac:dyDescent="0.25">
      <c r="A773" t="s">
        <v>22</v>
      </c>
      <c r="B773" t="s">
        <v>24</v>
      </c>
      <c r="C773" t="s">
        <v>68</v>
      </c>
      <c r="D773" s="2">
        <v>50</v>
      </c>
      <c r="E773" s="2">
        <v>70</v>
      </c>
      <c r="F773">
        <v>0</v>
      </c>
      <c r="G773">
        <v>0</v>
      </c>
      <c r="H773">
        <f t="shared" si="3"/>
        <v>0</v>
      </c>
      <c r="I773" s="1">
        <v>44948</v>
      </c>
      <c r="J773" t="s">
        <v>6</v>
      </c>
    </row>
    <row r="774" spans="1:10" x14ac:dyDescent="0.25">
      <c r="A774" t="s">
        <v>25</v>
      </c>
      <c r="B774" t="s">
        <v>24</v>
      </c>
      <c r="C774" t="s">
        <v>69</v>
      </c>
      <c r="D774" s="2">
        <v>45</v>
      </c>
      <c r="E774" s="2">
        <v>65</v>
      </c>
      <c r="F774">
        <v>0</v>
      </c>
      <c r="G774">
        <v>0</v>
      </c>
      <c r="H774">
        <f t="shared" si="3"/>
        <v>0</v>
      </c>
      <c r="I774" s="1">
        <v>44948</v>
      </c>
      <c r="J774" t="s">
        <v>6</v>
      </c>
    </row>
    <row r="775" spans="1:10" x14ac:dyDescent="0.25">
      <c r="A775" t="s">
        <v>26</v>
      </c>
      <c r="B775" t="s">
        <v>24</v>
      </c>
      <c r="C775" t="s">
        <v>70</v>
      </c>
      <c r="D775" s="2">
        <v>50</v>
      </c>
      <c r="E775" s="2">
        <v>70</v>
      </c>
      <c r="F775">
        <v>0</v>
      </c>
      <c r="G775">
        <v>0</v>
      </c>
      <c r="H775">
        <f t="shared" si="3"/>
        <v>0</v>
      </c>
      <c r="I775" s="1">
        <v>44948</v>
      </c>
      <c r="J775" t="s">
        <v>6</v>
      </c>
    </row>
    <row r="776" spans="1:10" x14ac:dyDescent="0.25">
      <c r="A776" t="s">
        <v>27</v>
      </c>
      <c r="B776" t="s">
        <v>24</v>
      </c>
      <c r="C776" t="s">
        <v>71</v>
      </c>
      <c r="D776" s="2">
        <v>10</v>
      </c>
      <c r="E776" s="2">
        <v>15</v>
      </c>
      <c r="F776">
        <v>7</v>
      </c>
      <c r="G776">
        <v>2</v>
      </c>
      <c r="H776">
        <f t="shared" si="3"/>
        <v>5</v>
      </c>
      <c r="I776" s="1">
        <v>44948</v>
      </c>
      <c r="J776" t="s">
        <v>6</v>
      </c>
    </row>
    <row r="777" spans="1:10" x14ac:dyDescent="0.25">
      <c r="A777" t="s">
        <v>28</v>
      </c>
      <c r="B777" t="s">
        <v>24</v>
      </c>
      <c r="C777" t="s">
        <v>72</v>
      </c>
      <c r="D777" s="2">
        <v>20</v>
      </c>
      <c r="E777" s="2">
        <v>25</v>
      </c>
      <c r="F777">
        <v>3</v>
      </c>
      <c r="G777">
        <v>1</v>
      </c>
      <c r="H777">
        <f t="shared" si="3"/>
        <v>2</v>
      </c>
      <c r="I777" s="1">
        <v>44948</v>
      </c>
      <c r="J777" t="s">
        <v>6</v>
      </c>
    </row>
    <row r="778" spans="1:10" x14ac:dyDescent="0.25">
      <c r="A778" t="s">
        <v>29</v>
      </c>
      <c r="B778" t="s">
        <v>30</v>
      </c>
      <c r="C778" t="s">
        <v>73</v>
      </c>
      <c r="D778" s="2">
        <v>25</v>
      </c>
      <c r="E778" s="2">
        <v>30</v>
      </c>
      <c r="F778">
        <v>10</v>
      </c>
      <c r="G778">
        <v>5</v>
      </c>
      <c r="H778">
        <f t="shared" si="3"/>
        <v>5</v>
      </c>
      <c r="I778" s="1">
        <v>44948</v>
      </c>
      <c r="J778" t="s">
        <v>6</v>
      </c>
    </row>
    <row r="779" spans="1:10" x14ac:dyDescent="0.25">
      <c r="A779" t="s">
        <v>31</v>
      </c>
      <c r="B779" t="s">
        <v>30</v>
      </c>
      <c r="C779" t="s">
        <v>74</v>
      </c>
      <c r="D779" s="2">
        <v>25</v>
      </c>
      <c r="E779" s="2">
        <v>30</v>
      </c>
      <c r="F779">
        <v>2</v>
      </c>
      <c r="G779">
        <v>2</v>
      </c>
      <c r="H779">
        <f t="shared" si="3"/>
        <v>0</v>
      </c>
      <c r="I779" s="1">
        <v>44948</v>
      </c>
      <c r="J779" t="s">
        <v>6</v>
      </c>
    </row>
    <row r="780" spans="1:10" x14ac:dyDescent="0.25">
      <c r="A780" t="s">
        <v>32</v>
      </c>
      <c r="B780" t="s">
        <v>30</v>
      </c>
      <c r="C780" t="s">
        <v>75</v>
      </c>
      <c r="D780" s="2">
        <v>25</v>
      </c>
      <c r="E780" s="2">
        <v>30</v>
      </c>
      <c r="F780">
        <v>5</v>
      </c>
      <c r="G780">
        <v>3</v>
      </c>
      <c r="H780">
        <f t="shared" si="3"/>
        <v>2</v>
      </c>
      <c r="I780" s="1">
        <v>44948</v>
      </c>
      <c r="J780" t="s">
        <v>6</v>
      </c>
    </row>
    <row r="781" spans="1:10" x14ac:dyDescent="0.25">
      <c r="A781" t="s">
        <v>33</v>
      </c>
      <c r="B781" t="s">
        <v>30</v>
      </c>
      <c r="C781" t="s">
        <v>76</v>
      </c>
      <c r="D781" s="2">
        <v>30</v>
      </c>
      <c r="E781" s="2">
        <v>35</v>
      </c>
      <c r="F781">
        <v>10</v>
      </c>
      <c r="G781">
        <v>7</v>
      </c>
      <c r="H781">
        <f t="shared" si="3"/>
        <v>3</v>
      </c>
      <c r="I781" s="1">
        <v>44948</v>
      </c>
      <c r="J781" t="s">
        <v>6</v>
      </c>
    </row>
    <row r="782" spans="1:10" x14ac:dyDescent="0.25">
      <c r="A782" t="s">
        <v>2</v>
      </c>
      <c r="B782" t="s">
        <v>3</v>
      </c>
      <c r="C782" t="s">
        <v>48</v>
      </c>
      <c r="D782" s="2">
        <v>100</v>
      </c>
      <c r="E782" s="2">
        <v>200</v>
      </c>
      <c r="F782">
        <v>0</v>
      </c>
      <c r="G782">
        <v>1</v>
      </c>
      <c r="H782">
        <f t="shared" si="3"/>
        <v>-1</v>
      </c>
      <c r="I782" s="1">
        <v>44949</v>
      </c>
      <c r="J782" t="s">
        <v>10</v>
      </c>
    </row>
    <row r="783" spans="1:10" x14ac:dyDescent="0.25">
      <c r="A783" t="s">
        <v>7</v>
      </c>
      <c r="B783" t="s">
        <v>3</v>
      </c>
      <c r="C783" t="s">
        <v>77</v>
      </c>
      <c r="D783" s="2">
        <v>200</v>
      </c>
      <c r="E783" s="2">
        <v>300</v>
      </c>
      <c r="F783">
        <v>2</v>
      </c>
      <c r="G783">
        <v>2</v>
      </c>
      <c r="H783">
        <f t="shared" si="3"/>
        <v>0</v>
      </c>
      <c r="I783" s="1">
        <v>44949</v>
      </c>
      <c r="J783" t="s">
        <v>10</v>
      </c>
    </row>
    <row r="784" spans="1:10" x14ac:dyDescent="0.25">
      <c r="A784" t="s">
        <v>23</v>
      </c>
      <c r="B784" t="s">
        <v>3</v>
      </c>
      <c r="C784" t="s">
        <v>52</v>
      </c>
      <c r="D784" s="2">
        <v>150</v>
      </c>
      <c r="E784" s="2">
        <v>250</v>
      </c>
      <c r="F784">
        <v>2</v>
      </c>
      <c r="G784">
        <v>2</v>
      </c>
      <c r="H784">
        <f t="shared" si="3"/>
        <v>0</v>
      </c>
      <c r="I784" s="1">
        <v>44949</v>
      </c>
      <c r="J784" t="s">
        <v>10</v>
      </c>
    </row>
    <row r="785" spans="1:10" x14ac:dyDescent="0.25">
      <c r="A785" t="s">
        <v>9</v>
      </c>
      <c r="B785" t="s">
        <v>3</v>
      </c>
      <c r="C785" t="s">
        <v>53</v>
      </c>
      <c r="D785" s="2">
        <v>100</v>
      </c>
      <c r="E785" s="2">
        <v>200</v>
      </c>
      <c r="F785">
        <v>1</v>
      </c>
      <c r="G785">
        <v>0</v>
      </c>
      <c r="H785">
        <f t="shared" si="3"/>
        <v>1</v>
      </c>
      <c r="I785" s="1">
        <v>44949</v>
      </c>
      <c r="J785" t="s">
        <v>10</v>
      </c>
    </row>
    <row r="786" spans="1:10" x14ac:dyDescent="0.25">
      <c r="A786" t="s">
        <v>2</v>
      </c>
      <c r="B786" t="s">
        <v>12</v>
      </c>
      <c r="C786" t="s">
        <v>49</v>
      </c>
      <c r="D786" s="2">
        <v>250</v>
      </c>
      <c r="E786" s="2">
        <v>350</v>
      </c>
      <c r="F786">
        <v>2</v>
      </c>
      <c r="G786">
        <v>2</v>
      </c>
      <c r="H786">
        <f t="shared" si="3"/>
        <v>0</v>
      </c>
      <c r="I786" s="1">
        <v>44949</v>
      </c>
      <c r="J786" t="s">
        <v>10</v>
      </c>
    </row>
    <row r="787" spans="1:10" x14ac:dyDescent="0.25">
      <c r="A787" t="s">
        <v>7</v>
      </c>
      <c r="B787" t="s">
        <v>12</v>
      </c>
      <c r="C787" t="s">
        <v>54</v>
      </c>
      <c r="D787" s="2">
        <v>300</v>
      </c>
      <c r="E787" s="2">
        <v>400</v>
      </c>
      <c r="F787">
        <v>1</v>
      </c>
      <c r="G787">
        <v>1</v>
      </c>
      <c r="H787">
        <f t="shared" si="3"/>
        <v>0</v>
      </c>
      <c r="I787" s="1">
        <v>44949</v>
      </c>
      <c r="J787" t="s">
        <v>10</v>
      </c>
    </row>
    <row r="788" spans="1:10" x14ac:dyDescent="0.25">
      <c r="A788" t="s">
        <v>8</v>
      </c>
      <c r="B788" t="s">
        <v>12</v>
      </c>
      <c r="C788" t="s">
        <v>55</v>
      </c>
      <c r="D788" s="2">
        <v>250</v>
      </c>
      <c r="E788" s="2">
        <v>350</v>
      </c>
      <c r="F788">
        <v>2</v>
      </c>
      <c r="G788">
        <v>2</v>
      </c>
      <c r="H788">
        <f t="shared" si="3"/>
        <v>0</v>
      </c>
      <c r="I788" s="1">
        <v>44949</v>
      </c>
      <c r="J788" t="s">
        <v>10</v>
      </c>
    </row>
    <row r="789" spans="1:10" x14ac:dyDescent="0.25">
      <c r="A789" t="s">
        <v>9</v>
      </c>
      <c r="B789" t="s">
        <v>12</v>
      </c>
      <c r="C789" t="s">
        <v>56</v>
      </c>
      <c r="D789" s="2">
        <v>250</v>
      </c>
      <c r="E789" s="2">
        <v>350</v>
      </c>
      <c r="F789">
        <v>1</v>
      </c>
      <c r="G789">
        <v>0</v>
      </c>
      <c r="H789">
        <f t="shared" si="3"/>
        <v>1</v>
      </c>
      <c r="I789" s="1">
        <v>44949</v>
      </c>
      <c r="J789" t="s">
        <v>10</v>
      </c>
    </row>
    <row r="790" spans="1:10" x14ac:dyDescent="0.25">
      <c r="A790" t="s">
        <v>13</v>
      </c>
      <c r="B790" t="s">
        <v>12</v>
      </c>
      <c r="C790" t="s">
        <v>57</v>
      </c>
      <c r="D790" s="2">
        <v>300</v>
      </c>
      <c r="E790" s="2">
        <v>450</v>
      </c>
      <c r="F790">
        <v>1</v>
      </c>
      <c r="G790">
        <v>1</v>
      </c>
      <c r="H790">
        <f t="shared" si="3"/>
        <v>0</v>
      </c>
      <c r="I790" s="1">
        <v>44949</v>
      </c>
      <c r="J790" t="s">
        <v>10</v>
      </c>
    </row>
    <row r="791" spans="1:10" x14ac:dyDescent="0.25">
      <c r="A791" t="s">
        <v>14</v>
      </c>
      <c r="B791" t="s">
        <v>16</v>
      </c>
      <c r="C791" t="s">
        <v>50</v>
      </c>
      <c r="D791" s="2">
        <v>320</v>
      </c>
      <c r="E791" s="2">
        <v>400</v>
      </c>
      <c r="F791">
        <v>0</v>
      </c>
      <c r="G791">
        <v>0</v>
      </c>
      <c r="H791">
        <f t="shared" si="3"/>
        <v>0</v>
      </c>
      <c r="I791" s="1">
        <v>44949</v>
      </c>
      <c r="J791" t="s">
        <v>10</v>
      </c>
    </row>
    <row r="792" spans="1:10" x14ac:dyDescent="0.25">
      <c r="A792" t="s">
        <v>15</v>
      </c>
      <c r="B792" t="s">
        <v>16</v>
      </c>
      <c r="C792" t="s">
        <v>58</v>
      </c>
      <c r="D792" s="2">
        <v>100</v>
      </c>
      <c r="E792" s="2">
        <v>150</v>
      </c>
      <c r="F792">
        <v>3</v>
      </c>
      <c r="G792">
        <v>3</v>
      </c>
      <c r="H792">
        <f t="shared" si="3"/>
        <v>0</v>
      </c>
      <c r="I792" s="1">
        <v>44949</v>
      </c>
      <c r="J792" t="s">
        <v>10</v>
      </c>
    </row>
    <row r="793" spans="1:10" x14ac:dyDescent="0.25">
      <c r="A793" t="s">
        <v>2</v>
      </c>
      <c r="B793" t="s">
        <v>21</v>
      </c>
      <c r="C793" t="s">
        <v>51</v>
      </c>
      <c r="D793" s="2">
        <v>25</v>
      </c>
      <c r="E793" s="2">
        <v>40</v>
      </c>
      <c r="F793">
        <v>8</v>
      </c>
      <c r="G793">
        <v>8</v>
      </c>
      <c r="H793">
        <f t="shared" si="3"/>
        <v>0</v>
      </c>
      <c r="I793" s="1">
        <v>44949</v>
      </c>
      <c r="J793" t="s">
        <v>10</v>
      </c>
    </row>
    <row r="794" spans="1:10" x14ac:dyDescent="0.25">
      <c r="A794" t="s">
        <v>7</v>
      </c>
      <c r="B794" t="s">
        <v>21</v>
      </c>
      <c r="C794" t="s">
        <v>59</v>
      </c>
      <c r="D794" s="2">
        <v>30</v>
      </c>
      <c r="E794" s="2">
        <v>50</v>
      </c>
      <c r="F794">
        <v>10</v>
      </c>
      <c r="G794">
        <v>6</v>
      </c>
      <c r="H794">
        <f t="shared" si="3"/>
        <v>4</v>
      </c>
      <c r="I794" s="1">
        <v>44949</v>
      </c>
      <c r="J794" t="s">
        <v>10</v>
      </c>
    </row>
    <row r="795" spans="1:10" x14ac:dyDescent="0.25">
      <c r="A795" t="s">
        <v>9</v>
      </c>
      <c r="B795" t="s">
        <v>21</v>
      </c>
      <c r="C795" t="s">
        <v>60</v>
      </c>
      <c r="D795" s="2">
        <v>25</v>
      </c>
      <c r="E795" s="2">
        <v>40</v>
      </c>
      <c r="F795">
        <v>6</v>
      </c>
      <c r="G795">
        <v>5</v>
      </c>
      <c r="H795">
        <f t="shared" si="3"/>
        <v>1</v>
      </c>
      <c r="I795" s="1">
        <v>44949</v>
      </c>
      <c r="J795" t="s">
        <v>10</v>
      </c>
    </row>
    <row r="796" spans="1:10" x14ac:dyDescent="0.25">
      <c r="A796" t="s">
        <v>23</v>
      </c>
      <c r="B796" t="s">
        <v>21</v>
      </c>
      <c r="C796" t="s">
        <v>61</v>
      </c>
      <c r="D796" s="2">
        <v>25</v>
      </c>
      <c r="E796" s="2">
        <v>40</v>
      </c>
      <c r="F796">
        <v>14</v>
      </c>
      <c r="G796">
        <v>11</v>
      </c>
      <c r="H796">
        <f t="shared" si="3"/>
        <v>3</v>
      </c>
      <c r="I796" s="1">
        <v>44949</v>
      </c>
      <c r="J796" t="s">
        <v>10</v>
      </c>
    </row>
    <row r="797" spans="1:10" x14ac:dyDescent="0.25">
      <c r="A797" t="s">
        <v>13</v>
      </c>
      <c r="B797" t="s">
        <v>21</v>
      </c>
      <c r="C797" t="s">
        <v>62</v>
      </c>
      <c r="D797" s="2">
        <v>30</v>
      </c>
      <c r="E797" s="2">
        <v>55</v>
      </c>
      <c r="F797">
        <v>0</v>
      </c>
      <c r="G797">
        <v>0</v>
      </c>
      <c r="H797">
        <f t="shared" si="3"/>
        <v>0</v>
      </c>
      <c r="I797" s="1">
        <v>44949</v>
      </c>
      <c r="J797" t="s">
        <v>10</v>
      </c>
    </row>
    <row r="798" spans="1:10" x14ac:dyDescent="0.25">
      <c r="A798" t="s">
        <v>17</v>
      </c>
      <c r="B798" t="s">
        <v>21</v>
      </c>
      <c r="C798" t="s">
        <v>63</v>
      </c>
      <c r="D798" s="2">
        <v>40</v>
      </c>
      <c r="E798" s="2">
        <v>65</v>
      </c>
      <c r="F798">
        <v>15</v>
      </c>
      <c r="G798">
        <v>10</v>
      </c>
      <c r="H798">
        <f t="shared" si="3"/>
        <v>5</v>
      </c>
      <c r="I798" s="1">
        <v>44949</v>
      </c>
      <c r="J798" t="s">
        <v>10</v>
      </c>
    </row>
    <row r="799" spans="1:10" x14ac:dyDescent="0.25">
      <c r="A799" t="s">
        <v>34</v>
      </c>
      <c r="B799" t="s">
        <v>21</v>
      </c>
      <c r="C799" t="s">
        <v>64</v>
      </c>
      <c r="D799" s="2">
        <v>50</v>
      </c>
      <c r="E799" s="2">
        <v>70</v>
      </c>
      <c r="F799">
        <v>0</v>
      </c>
      <c r="G799">
        <v>0</v>
      </c>
      <c r="H799">
        <f t="shared" si="3"/>
        <v>0</v>
      </c>
      <c r="I799" s="1">
        <v>44949</v>
      </c>
      <c r="J799" t="s">
        <v>10</v>
      </c>
    </row>
    <row r="800" spans="1:10" x14ac:dyDescent="0.25">
      <c r="A800" t="s">
        <v>18</v>
      </c>
      <c r="B800" t="s">
        <v>21</v>
      </c>
      <c r="C800" t="s">
        <v>65</v>
      </c>
      <c r="D800" s="2">
        <v>20</v>
      </c>
      <c r="E800" s="2">
        <v>30</v>
      </c>
      <c r="F800">
        <v>10</v>
      </c>
      <c r="G800">
        <v>8</v>
      </c>
      <c r="H800">
        <f t="shared" si="3"/>
        <v>2</v>
      </c>
      <c r="I800" s="1">
        <v>44949</v>
      </c>
      <c r="J800" t="s">
        <v>10</v>
      </c>
    </row>
    <row r="801" spans="1:10" x14ac:dyDescent="0.25">
      <c r="A801" t="s">
        <v>19</v>
      </c>
      <c r="B801" t="s">
        <v>21</v>
      </c>
      <c r="C801" t="s">
        <v>66</v>
      </c>
      <c r="D801" s="2">
        <v>10</v>
      </c>
      <c r="E801" s="2">
        <v>20</v>
      </c>
      <c r="F801">
        <v>4</v>
      </c>
      <c r="G801">
        <v>4</v>
      </c>
      <c r="H801">
        <f t="shared" si="3"/>
        <v>0</v>
      </c>
      <c r="I801" s="1">
        <v>44949</v>
      </c>
      <c r="J801" t="s">
        <v>10</v>
      </c>
    </row>
    <row r="802" spans="1:10" x14ac:dyDescent="0.25">
      <c r="A802" t="s">
        <v>20</v>
      </c>
      <c r="B802" t="s">
        <v>21</v>
      </c>
      <c r="C802" t="s">
        <v>67</v>
      </c>
      <c r="D802" s="2">
        <v>60</v>
      </c>
      <c r="E802" s="2">
        <v>100</v>
      </c>
      <c r="F802">
        <v>2</v>
      </c>
      <c r="G802">
        <v>1</v>
      </c>
      <c r="H802">
        <f t="shared" si="3"/>
        <v>1</v>
      </c>
      <c r="I802" s="1">
        <v>44949</v>
      </c>
      <c r="J802" t="s">
        <v>10</v>
      </c>
    </row>
    <row r="803" spans="1:10" x14ac:dyDescent="0.25">
      <c r="A803" t="s">
        <v>22</v>
      </c>
      <c r="B803" t="s">
        <v>24</v>
      </c>
      <c r="C803" t="s">
        <v>68</v>
      </c>
      <c r="D803" s="2">
        <v>50</v>
      </c>
      <c r="E803" s="2">
        <v>70</v>
      </c>
      <c r="F803">
        <v>0</v>
      </c>
      <c r="G803">
        <v>0</v>
      </c>
      <c r="H803">
        <f t="shared" si="3"/>
        <v>0</v>
      </c>
      <c r="I803" s="1">
        <v>44949</v>
      </c>
      <c r="J803" t="s">
        <v>10</v>
      </c>
    </row>
    <row r="804" spans="1:10" x14ac:dyDescent="0.25">
      <c r="A804" t="s">
        <v>25</v>
      </c>
      <c r="B804" t="s">
        <v>24</v>
      </c>
      <c r="C804" t="s">
        <v>69</v>
      </c>
      <c r="D804" s="2">
        <v>45</v>
      </c>
      <c r="E804" s="2">
        <v>65</v>
      </c>
      <c r="F804">
        <v>0</v>
      </c>
      <c r="G804">
        <v>0</v>
      </c>
      <c r="H804">
        <f t="shared" si="3"/>
        <v>0</v>
      </c>
      <c r="I804" s="1">
        <v>44949</v>
      </c>
      <c r="J804" t="s">
        <v>10</v>
      </c>
    </row>
    <row r="805" spans="1:10" x14ac:dyDescent="0.25">
      <c r="A805" t="s">
        <v>26</v>
      </c>
      <c r="B805" t="s">
        <v>24</v>
      </c>
      <c r="C805" t="s">
        <v>70</v>
      </c>
      <c r="D805" s="2">
        <v>50</v>
      </c>
      <c r="E805" s="2">
        <v>70</v>
      </c>
      <c r="F805">
        <v>0</v>
      </c>
      <c r="G805">
        <v>0</v>
      </c>
      <c r="H805">
        <f t="shared" si="3"/>
        <v>0</v>
      </c>
      <c r="I805" s="1">
        <v>44949</v>
      </c>
      <c r="J805" t="s">
        <v>10</v>
      </c>
    </row>
    <row r="806" spans="1:10" x14ac:dyDescent="0.25">
      <c r="A806" t="s">
        <v>27</v>
      </c>
      <c r="B806" t="s">
        <v>24</v>
      </c>
      <c r="C806" t="s">
        <v>71</v>
      </c>
      <c r="D806" s="2">
        <v>10</v>
      </c>
      <c r="E806" s="2">
        <v>15</v>
      </c>
      <c r="F806">
        <v>7</v>
      </c>
      <c r="G806">
        <v>5</v>
      </c>
      <c r="H806">
        <f t="shared" si="3"/>
        <v>2</v>
      </c>
      <c r="I806" s="1">
        <v>44949</v>
      </c>
      <c r="J806" t="s">
        <v>10</v>
      </c>
    </row>
    <row r="807" spans="1:10" x14ac:dyDescent="0.25">
      <c r="A807" t="s">
        <v>28</v>
      </c>
      <c r="B807" t="s">
        <v>24</v>
      </c>
      <c r="C807" t="s">
        <v>72</v>
      </c>
      <c r="D807" s="2">
        <v>20</v>
      </c>
      <c r="E807" s="2">
        <v>25</v>
      </c>
      <c r="F807">
        <v>6</v>
      </c>
      <c r="G807">
        <v>2</v>
      </c>
      <c r="H807">
        <f t="shared" si="3"/>
        <v>4</v>
      </c>
      <c r="I807" s="1">
        <v>44949</v>
      </c>
      <c r="J807" t="s">
        <v>10</v>
      </c>
    </row>
    <row r="808" spans="1:10" x14ac:dyDescent="0.25">
      <c r="A808" t="s">
        <v>29</v>
      </c>
      <c r="B808" t="s">
        <v>30</v>
      </c>
      <c r="C808" t="s">
        <v>73</v>
      </c>
      <c r="D808" s="2">
        <v>25</v>
      </c>
      <c r="E808" s="2">
        <v>30</v>
      </c>
      <c r="F808">
        <v>10</v>
      </c>
      <c r="G808">
        <v>6</v>
      </c>
      <c r="H808">
        <f t="shared" si="3"/>
        <v>4</v>
      </c>
      <c r="I808" s="1">
        <v>44949</v>
      </c>
      <c r="J808" t="s">
        <v>10</v>
      </c>
    </row>
    <row r="809" spans="1:10" x14ac:dyDescent="0.25">
      <c r="A809" t="s">
        <v>31</v>
      </c>
      <c r="B809" t="s">
        <v>30</v>
      </c>
      <c r="C809" t="s">
        <v>74</v>
      </c>
      <c r="D809" s="2">
        <v>25</v>
      </c>
      <c r="E809" s="2">
        <v>30</v>
      </c>
      <c r="F809">
        <v>2</v>
      </c>
      <c r="G809">
        <v>1</v>
      </c>
      <c r="H809">
        <f t="shared" si="3"/>
        <v>1</v>
      </c>
      <c r="I809" s="1">
        <v>44949</v>
      </c>
      <c r="J809" t="s">
        <v>10</v>
      </c>
    </row>
    <row r="810" spans="1:10" x14ac:dyDescent="0.25">
      <c r="A810" t="s">
        <v>32</v>
      </c>
      <c r="B810" t="s">
        <v>30</v>
      </c>
      <c r="C810" t="s">
        <v>75</v>
      </c>
      <c r="D810" s="2">
        <v>25</v>
      </c>
      <c r="E810" s="2">
        <v>30</v>
      </c>
      <c r="F810">
        <v>3</v>
      </c>
      <c r="G810">
        <v>1</v>
      </c>
      <c r="H810">
        <f t="shared" si="3"/>
        <v>2</v>
      </c>
      <c r="I810" s="1">
        <v>44949</v>
      </c>
      <c r="J810" t="s">
        <v>10</v>
      </c>
    </row>
    <row r="811" spans="1:10" x14ac:dyDescent="0.25">
      <c r="A811" t="s">
        <v>33</v>
      </c>
      <c r="B811" t="s">
        <v>30</v>
      </c>
      <c r="C811" t="s">
        <v>76</v>
      </c>
      <c r="D811" s="2">
        <v>30</v>
      </c>
      <c r="E811" s="2">
        <v>35</v>
      </c>
      <c r="F811">
        <v>12</v>
      </c>
      <c r="G811">
        <v>3</v>
      </c>
      <c r="H811">
        <f t="shared" si="3"/>
        <v>9</v>
      </c>
      <c r="I811" s="1">
        <v>44949</v>
      </c>
      <c r="J811" t="s">
        <v>10</v>
      </c>
    </row>
    <row r="812" spans="1:10" x14ac:dyDescent="0.25">
      <c r="A812" t="s">
        <v>2</v>
      </c>
      <c r="B812" t="s">
        <v>3</v>
      </c>
      <c r="C812" t="s">
        <v>48</v>
      </c>
      <c r="D812" s="2">
        <v>100</v>
      </c>
      <c r="E812" s="2">
        <v>200</v>
      </c>
      <c r="F812">
        <v>4</v>
      </c>
      <c r="G812">
        <v>2</v>
      </c>
      <c r="H812">
        <f t="shared" si="3"/>
        <v>2</v>
      </c>
      <c r="I812" s="1">
        <v>44951</v>
      </c>
      <c r="J812" t="s">
        <v>35</v>
      </c>
    </row>
    <row r="813" spans="1:10" x14ac:dyDescent="0.25">
      <c r="A813" t="s">
        <v>7</v>
      </c>
      <c r="B813" t="s">
        <v>3</v>
      </c>
      <c r="C813" t="s">
        <v>77</v>
      </c>
      <c r="D813" s="2">
        <v>200</v>
      </c>
      <c r="E813" s="2">
        <v>300</v>
      </c>
      <c r="F813">
        <v>4</v>
      </c>
      <c r="G813">
        <v>2</v>
      </c>
      <c r="H813">
        <f t="shared" si="3"/>
        <v>2</v>
      </c>
      <c r="I813" s="1">
        <v>44951</v>
      </c>
      <c r="J813" t="s">
        <v>35</v>
      </c>
    </row>
    <row r="814" spans="1:10" x14ac:dyDescent="0.25">
      <c r="A814" t="s">
        <v>23</v>
      </c>
      <c r="B814" t="s">
        <v>3</v>
      </c>
      <c r="C814" t="s">
        <v>52</v>
      </c>
      <c r="D814" s="2">
        <v>150</v>
      </c>
      <c r="E814" s="2">
        <v>250</v>
      </c>
      <c r="F814">
        <v>4</v>
      </c>
      <c r="G814">
        <v>1</v>
      </c>
      <c r="H814">
        <f t="shared" si="3"/>
        <v>3</v>
      </c>
      <c r="I814" s="1">
        <v>44951</v>
      </c>
      <c r="J814" t="s">
        <v>35</v>
      </c>
    </row>
    <row r="815" spans="1:10" x14ac:dyDescent="0.25">
      <c r="A815" t="s">
        <v>9</v>
      </c>
      <c r="B815" t="s">
        <v>3</v>
      </c>
      <c r="C815" t="s">
        <v>53</v>
      </c>
      <c r="D815" s="2">
        <v>100</v>
      </c>
      <c r="E815" s="2">
        <v>200</v>
      </c>
      <c r="F815">
        <v>2</v>
      </c>
      <c r="G815">
        <v>1</v>
      </c>
      <c r="H815">
        <f t="shared" si="3"/>
        <v>1</v>
      </c>
      <c r="I815" s="1">
        <v>44951</v>
      </c>
      <c r="J815" t="s">
        <v>35</v>
      </c>
    </row>
    <row r="816" spans="1:10" x14ac:dyDescent="0.25">
      <c r="A816" t="s">
        <v>2</v>
      </c>
      <c r="B816" t="s">
        <v>12</v>
      </c>
      <c r="C816" t="s">
        <v>49</v>
      </c>
      <c r="D816" s="2">
        <v>250</v>
      </c>
      <c r="E816" s="2">
        <v>350</v>
      </c>
      <c r="F816">
        <v>2</v>
      </c>
      <c r="G816">
        <v>2</v>
      </c>
      <c r="H816">
        <f t="shared" si="3"/>
        <v>0</v>
      </c>
      <c r="I816" s="1">
        <v>44951</v>
      </c>
      <c r="J816" t="s">
        <v>35</v>
      </c>
    </row>
    <row r="817" spans="1:10" x14ac:dyDescent="0.25">
      <c r="A817" t="s">
        <v>7</v>
      </c>
      <c r="B817" t="s">
        <v>12</v>
      </c>
      <c r="C817" t="s">
        <v>54</v>
      </c>
      <c r="D817" s="2">
        <v>300</v>
      </c>
      <c r="E817" s="2">
        <v>400</v>
      </c>
      <c r="F817">
        <v>1</v>
      </c>
      <c r="G817">
        <v>1</v>
      </c>
      <c r="H817">
        <f t="shared" si="3"/>
        <v>0</v>
      </c>
      <c r="I817" s="1">
        <v>44951</v>
      </c>
      <c r="J817" t="s">
        <v>35</v>
      </c>
    </row>
    <row r="818" spans="1:10" x14ac:dyDescent="0.25">
      <c r="A818" t="s">
        <v>8</v>
      </c>
      <c r="B818" t="s">
        <v>12</v>
      </c>
      <c r="C818" t="s">
        <v>55</v>
      </c>
      <c r="D818" s="2">
        <v>250</v>
      </c>
      <c r="E818" s="2">
        <v>350</v>
      </c>
      <c r="F818">
        <v>2</v>
      </c>
      <c r="G818">
        <v>1</v>
      </c>
      <c r="H818">
        <f t="shared" si="3"/>
        <v>1</v>
      </c>
      <c r="I818" s="1">
        <v>44951</v>
      </c>
      <c r="J818" t="s">
        <v>35</v>
      </c>
    </row>
    <row r="819" spans="1:10" x14ac:dyDescent="0.25">
      <c r="A819" t="s">
        <v>9</v>
      </c>
      <c r="B819" t="s">
        <v>12</v>
      </c>
      <c r="C819" t="s">
        <v>56</v>
      </c>
      <c r="D819" s="2">
        <v>250</v>
      </c>
      <c r="E819" s="2">
        <v>350</v>
      </c>
      <c r="F819">
        <v>0</v>
      </c>
      <c r="G819">
        <v>0</v>
      </c>
      <c r="H819">
        <f t="shared" si="3"/>
        <v>0</v>
      </c>
      <c r="I819" s="1">
        <v>44951</v>
      </c>
      <c r="J819" t="s">
        <v>35</v>
      </c>
    </row>
    <row r="820" spans="1:10" x14ac:dyDescent="0.25">
      <c r="A820" t="s">
        <v>13</v>
      </c>
      <c r="B820" t="s">
        <v>12</v>
      </c>
      <c r="C820" t="s">
        <v>57</v>
      </c>
      <c r="D820" s="2">
        <v>300</v>
      </c>
      <c r="E820" s="2">
        <v>450</v>
      </c>
      <c r="F820">
        <v>1</v>
      </c>
      <c r="G820">
        <v>0</v>
      </c>
      <c r="H820">
        <f t="shared" si="3"/>
        <v>1</v>
      </c>
      <c r="I820" s="1">
        <v>44951</v>
      </c>
      <c r="J820" t="s">
        <v>35</v>
      </c>
    </row>
    <row r="821" spans="1:10" x14ac:dyDescent="0.25">
      <c r="A821" t="s">
        <v>14</v>
      </c>
      <c r="B821" t="s">
        <v>16</v>
      </c>
      <c r="C821" t="s">
        <v>50</v>
      </c>
      <c r="D821" s="2">
        <v>320</v>
      </c>
      <c r="E821" s="2">
        <v>400</v>
      </c>
      <c r="F821">
        <v>0</v>
      </c>
      <c r="G821">
        <v>0</v>
      </c>
      <c r="H821">
        <f t="shared" si="3"/>
        <v>0</v>
      </c>
      <c r="I821" s="1">
        <v>44951</v>
      </c>
      <c r="J821" t="s">
        <v>35</v>
      </c>
    </row>
    <row r="822" spans="1:10" x14ac:dyDescent="0.25">
      <c r="A822" t="s">
        <v>15</v>
      </c>
      <c r="B822" t="s">
        <v>16</v>
      </c>
      <c r="C822" t="s">
        <v>58</v>
      </c>
      <c r="D822" s="2">
        <v>100</v>
      </c>
      <c r="E822" s="2">
        <v>150</v>
      </c>
      <c r="F822">
        <v>3</v>
      </c>
      <c r="G822">
        <v>3</v>
      </c>
      <c r="H822">
        <f t="shared" si="3"/>
        <v>0</v>
      </c>
      <c r="I822" s="1">
        <v>44951</v>
      </c>
      <c r="J822" t="s">
        <v>35</v>
      </c>
    </row>
    <row r="823" spans="1:10" x14ac:dyDescent="0.25">
      <c r="A823" t="s">
        <v>2</v>
      </c>
      <c r="B823" t="s">
        <v>21</v>
      </c>
      <c r="C823" t="s">
        <v>51</v>
      </c>
      <c r="D823" s="2">
        <v>25</v>
      </c>
      <c r="E823" s="2">
        <v>40</v>
      </c>
      <c r="F823">
        <v>8</v>
      </c>
      <c r="G823">
        <v>4</v>
      </c>
      <c r="H823">
        <f t="shared" si="3"/>
        <v>4</v>
      </c>
      <c r="I823" s="1">
        <v>44951</v>
      </c>
      <c r="J823" t="s">
        <v>35</v>
      </c>
    </row>
    <row r="824" spans="1:10" x14ac:dyDescent="0.25">
      <c r="A824" t="s">
        <v>7</v>
      </c>
      <c r="B824" t="s">
        <v>21</v>
      </c>
      <c r="C824" t="s">
        <v>59</v>
      </c>
      <c r="D824" s="2">
        <v>30</v>
      </c>
      <c r="E824" s="2">
        <v>50</v>
      </c>
      <c r="F824">
        <v>6</v>
      </c>
      <c r="G824">
        <v>4</v>
      </c>
      <c r="H824">
        <f t="shared" si="3"/>
        <v>2</v>
      </c>
      <c r="I824" s="1">
        <v>44951</v>
      </c>
      <c r="J824" t="s">
        <v>35</v>
      </c>
    </row>
    <row r="825" spans="1:10" x14ac:dyDescent="0.25">
      <c r="A825" t="s">
        <v>9</v>
      </c>
      <c r="B825" t="s">
        <v>21</v>
      </c>
      <c r="C825" t="s">
        <v>60</v>
      </c>
      <c r="D825" s="2">
        <v>25</v>
      </c>
      <c r="E825" s="2">
        <v>40</v>
      </c>
      <c r="F825">
        <v>5</v>
      </c>
      <c r="G825">
        <v>5</v>
      </c>
      <c r="H825">
        <f t="shared" si="3"/>
        <v>0</v>
      </c>
      <c r="I825" s="1">
        <v>44951</v>
      </c>
      <c r="J825" t="s">
        <v>35</v>
      </c>
    </row>
    <row r="826" spans="1:10" x14ac:dyDescent="0.25">
      <c r="A826" t="s">
        <v>23</v>
      </c>
      <c r="B826" t="s">
        <v>21</v>
      </c>
      <c r="C826" t="s">
        <v>61</v>
      </c>
      <c r="D826" s="2">
        <v>25</v>
      </c>
      <c r="E826" s="2">
        <v>40</v>
      </c>
      <c r="F826">
        <v>11</v>
      </c>
      <c r="G826">
        <v>11</v>
      </c>
      <c r="H826">
        <f t="shared" si="3"/>
        <v>0</v>
      </c>
      <c r="I826" s="1">
        <v>44951</v>
      </c>
      <c r="J826" t="s">
        <v>35</v>
      </c>
    </row>
    <row r="827" spans="1:10" x14ac:dyDescent="0.25">
      <c r="A827" t="s">
        <v>13</v>
      </c>
      <c r="B827" t="s">
        <v>21</v>
      </c>
      <c r="C827" t="s">
        <v>62</v>
      </c>
      <c r="D827" s="2">
        <v>30</v>
      </c>
      <c r="E827" s="2">
        <v>55</v>
      </c>
      <c r="F827">
        <v>0</v>
      </c>
      <c r="G827">
        <v>0</v>
      </c>
      <c r="H827">
        <f t="shared" si="3"/>
        <v>0</v>
      </c>
      <c r="I827" s="1">
        <v>44951</v>
      </c>
      <c r="J827" t="s">
        <v>35</v>
      </c>
    </row>
    <row r="828" spans="1:10" x14ac:dyDescent="0.25">
      <c r="A828" t="s">
        <v>17</v>
      </c>
      <c r="B828" t="s">
        <v>21</v>
      </c>
      <c r="C828" t="s">
        <v>63</v>
      </c>
      <c r="D828" s="2">
        <v>40</v>
      </c>
      <c r="E828" s="2">
        <v>65</v>
      </c>
      <c r="F828">
        <v>10</v>
      </c>
      <c r="G828">
        <v>10</v>
      </c>
      <c r="H828">
        <f t="shared" si="3"/>
        <v>0</v>
      </c>
      <c r="I828" s="1">
        <v>44951</v>
      </c>
      <c r="J828" t="s">
        <v>35</v>
      </c>
    </row>
    <row r="829" spans="1:10" x14ac:dyDescent="0.25">
      <c r="A829" t="s">
        <v>34</v>
      </c>
      <c r="B829" t="s">
        <v>21</v>
      </c>
      <c r="C829" t="s">
        <v>64</v>
      </c>
      <c r="D829" s="2">
        <v>50</v>
      </c>
      <c r="E829" s="2">
        <v>70</v>
      </c>
      <c r="F829">
        <v>0</v>
      </c>
      <c r="G829">
        <v>0</v>
      </c>
      <c r="H829">
        <f t="shared" si="3"/>
        <v>0</v>
      </c>
      <c r="I829" s="1">
        <v>44951</v>
      </c>
      <c r="J829" t="s">
        <v>35</v>
      </c>
    </row>
    <row r="830" spans="1:10" x14ac:dyDescent="0.25">
      <c r="A830" t="s">
        <v>18</v>
      </c>
      <c r="B830" t="s">
        <v>21</v>
      </c>
      <c r="C830" t="s">
        <v>65</v>
      </c>
      <c r="D830" s="2">
        <v>20</v>
      </c>
      <c r="E830" s="2">
        <v>30</v>
      </c>
      <c r="F830">
        <v>8</v>
      </c>
      <c r="G830">
        <v>6</v>
      </c>
      <c r="H830">
        <f t="shared" si="3"/>
        <v>2</v>
      </c>
      <c r="I830" s="1">
        <v>44951</v>
      </c>
      <c r="J830" t="s">
        <v>35</v>
      </c>
    </row>
    <row r="831" spans="1:10" x14ac:dyDescent="0.25">
      <c r="A831" t="s">
        <v>19</v>
      </c>
      <c r="B831" t="s">
        <v>21</v>
      </c>
      <c r="C831" t="s">
        <v>66</v>
      </c>
      <c r="D831" s="2">
        <v>10</v>
      </c>
      <c r="E831" s="2">
        <v>20</v>
      </c>
      <c r="F831">
        <v>4</v>
      </c>
      <c r="G831">
        <v>3</v>
      </c>
      <c r="H831">
        <f t="shared" si="3"/>
        <v>1</v>
      </c>
      <c r="I831" s="1">
        <v>44951</v>
      </c>
      <c r="J831" t="s">
        <v>35</v>
      </c>
    </row>
    <row r="832" spans="1:10" x14ac:dyDescent="0.25">
      <c r="A832" t="s">
        <v>20</v>
      </c>
      <c r="B832" t="s">
        <v>21</v>
      </c>
      <c r="C832" t="s">
        <v>67</v>
      </c>
      <c r="D832" s="2">
        <v>60</v>
      </c>
      <c r="E832" s="2">
        <v>100</v>
      </c>
      <c r="F832">
        <v>1</v>
      </c>
      <c r="G832">
        <v>1</v>
      </c>
      <c r="H832">
        <f t="shared" si="3"/>
        <v>0</v>
      </c>
      <c r="I832" s="1">
        <v>44951</v>
      </c>
      <c r="J832" t="s">
        <v>35</v>
      </c>
    </row>
    <row r="833" spans="1:10" x14ac:dyDescent="0.25">
      <c r="A833" t="s">
        <v>22</v>
      </c>
      <c r="B833" t="s">
        <v>24</v>
      </c>
      <c r="C833" t="s">
        <v>68</v>
      </c>
      <c r="D833" s="2">
        <v>50</v>
      </c>
      <c r="E833" s="2">
        <v>70</v>
      </c>
      <c r="F833">
        <v>4</v>
      </c>
      <c r="G833">
        <v>2</v>
      </c>
      <c r="H833">
        <f t="shared" si="3"/>
        <v>2</v>
      </c>
      <c r="I833" s="1">
        <v>44951</v>
      </c>
      <c r="J833" t="s">
        <v>35</v>
      </c>
    </row>
    <row r="834" spans="1:10" x14ac:dyDescent="0.25">
      <c r="A834" t="s">
        <v>25</v>
      </c>
      <c r="B834" t="s">
        <v>24</v>
      </c>
      <c r="C834" t="s">
        <v>69</v>
      </c>
      <c r="D834" s="2">
        <v>45</v>
      </c>
      <c r="E834" s="2">
        <v>65</v>
      </c>
      <c r="F834">
        <v>0</v>
      </c>
      <c r="G834">
        <v>0</v>
      </c>
      <c r="H834">
        <f t="shared" si="3"/>
        <v>0</v>
      </c>
      <c r="I834" s="1">
        <v>44951</v>
      </c>
      <c r="J834" t="s">
        <v>35</v>
      </c>
    </row>
    <row r="835" spans="1:10" x14ac:dyDescent="0.25">
      <c r="A835" t="s">
        <v>26</v>
      </c>
      <c r="B835" t="s">
        <v>24</v>
      </c>
      <c r="C835" t="s">
        <v>70</v>
      </c>
      <c r="D835" s="2">
        <v>50</v>
      </c>
      <c r="E835" s="2">
        <v>70</v>
      </c>
      <c r="F835">
        <v>0</v>
      </c>
      <c r="G835">
        <v>0</v>
      </c>
      <c r="H835">
        <f t="shared" si="3"/>
        <v>0</v>
      </c>
      <c r="I835" s="1">
        <v>44951</v>
      </c>
      <c r="J835" t="s">
        <v>35</v>
      </c>
    </row>
    <row r="836" spans="1:10" x14ac:dyDescent="0.25">
      <c r="A836" t="s">
        <v>27</v>
      </c>
      <c r="B836" t="s">
        <v>24</v>
      </c>
      <c r="C836" t="s">
        <v>71</v>
      </c>
      <c r="D836" s="2">
        <v>10</v>
      </c>
      <c r="E836" s="2">
        <v>15</v>
      </c>
      <c r="F836">
        <v>10</v>
      </c>
      <c r="G836">
        <v>1</v>
      </c>
      <c r="H836">
        <f t="shared" si="3"/>
        <v>9</v>
      </c>
      <c r="I836" s="1">
        <v>44951</v>
      </c>
      <c r="J836" t="s">
        <v>35</v>
      </c>
    </row>
    <row r="837" spans="1:10" x14ac:dyDescent="0.25">
      <c r="A837" t="s">
        <v>28</v>
      </c>
      <c r="B837" t="s">
        <v>24</v>
      </c>
      <c r="C837" t="s">
        <v>72</v>
      </c>
      <c r="D837" s="2">
        <v>20</v>
      </c>
      <c r="E837" s="2">
        <v>25</v>
      </c>
      <c r="F837">
        <v>7</v>
      </c>
      <c r="G837">
        <v>0</v>
      </c>
      <c r="H837">
        <f t="shared" si="3"/>
        <v>7</v>
      </c>
      <c r="I837" s="1">
        <v>44951</v>
      </c>
      <c r="J837" t="s">
        <v>35</v>
      </c>
    </row>
    <row r="838" spans="1:10" x14ac:dyDescent="0.25">
      <c r="A838" t="s">
        <v>29</v>
      </c>
      <c r="B838" t="s">
        <v>30</v>
      </c>
      <c r="C838" t="s">
        <v>73</v>
      </c>
      <c r="D838" s="2">
        <v>25</v>
      </c>
      <c r="E838" s="2">
        <v>30</v>
      </c>
      <c r="F838">
        <v>16</v>
      </c>
      <c r="G838">
        <v>10</v>
      </c>
      <c r="H838">
        <f t="shared" si="3"/>
        <v>6</v>
      </c>
      <c r="I838" s="1">
        <v>44951</v>
      </c>
      <c r="J838" t="s">
        <v>35</v>
      </c>
    </row>
    <row r="839" spans="1:10" x14ac:dyDescent="0.25">
      <c r="A839" t="s">
        <v>31</v>
      </c>
      <c r="B839" t="s">
        <v>30</v>
      </c>
      <c r="C839" t="s">
        <v>74</v>
      </c>
      <c r="D839" s="2">
        <v>25</v>
      </c>
      <c r="E839" s="2">
        <v>30</v>
      </c>
      <c r="F839">
        <v>6</v>
      </c>
      <c r="G839">
        <v>4</v>
      </c>
      <c r="H839">
        <f t="shared" si="3"/>
        <v>2</v>
      </c>
      <c r="I839" s="1">
        <v>44951</v>
      </c>
      <c r="J839" t="s">
        <v>35</v>
      </c>
    </row>
    <row r="840" spans="1:10" x14ac:dyDescent="0.25">
      <c r="A840" t="s">
        <v>32</v>
      </c>
      <c r="B840" t="s">
        <v>30</v>
      </c>
      <c r="C840" t="s">
        <v>75</v>
      </c>
      <c r="D840" s="2">
        <v>25</v>
      </c>
      <c r="E840" s="2">
        <v>30</v>
      </c>
      <c r="F840">
        <v>6</v>
      </c>
      <c r="G840">
        <v>0</v>
      </c>
      <c r="H840">
        <f t="shared" si="3"/>
        <v>6</v>
      </c>
      <c r="I840" s="1">
        <v>44951</v>
      </c>
      <c r="J840" t="s">
        <v>35</v>
      </c>
    </row>
    <row r="841" spans="1:10" x14ac:dyDescent="0.25">
      <c r="A841" t="s">
        <v>33</v>
      </c>
      <c r="B841" t="s">
        <v>30</v>
      </c>
      <c r="C841" t="s">
        <v>76</v>
      </c>
      <c r="D841" s="2">
        <v>30</v>
      </c>
      <c r="E841" s="2">
        <v>35</v>
      </c>
      <c r="F841">
        <v>13</v>
      </c>
      <c r="G841">
        <v>6</v>
      </c>
      <c r="H841">
        <f t="shared" si="3"/>
        <v>7</v>
      </c>
      <c r="I841" s="1">
        <v>44951</v>
      </c>
      <c r="J84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DBEE-AA1F-4AC9-9D27-74B7DA7EBCFD}">
  <dimension ref="A1:O841"/>
  <sheetViews>
    <sheetView topLeftCell="A13" zoomScaleNormal="100" workbookViewId="0">
      <selection activeCell="G12" sqref="G12"/>
    </sheetView>
  </sheetViews>
  <sheetFormatPr defaultRowHeight="15" x14ac:dyDescent="0.25"/>
  <cols>
    <col min="1" max="1" width="17.85546875" customWidth="1"/>
    <col min="2" max="3" width="13.5703125" customWidth="1"/>
    <col min="4" max="4" width="13.5703125" style="2" customWidth="1"/>
    <col min="5" max="5" width="12.85546875" style="2" customWidth="1"/>
    <col min="6" max="6" width="15" customWidth="1"/>
    <col min="7" max="7" width="14.85546875" customWidth="1"/>
    <col min="8" max="8" width="22.140625" customWidth="1"/>
    <col min="9" max="9" width="20.140625" style="33" customWidth="1"/>
    <col min="10" max="10" width="10.85546875" customWidth="1"/>
    <col min="11" max="11" width="11.140625" style="2" customWidth="1"/>
    <col min="12" max="12" width="13.85546875" customWidth="1"/>
    <col min="13" max="13" width="18.42578125" style="6" customWidth="1"/>
    <col min="15" max="15" width="14.140625" customWidth="1"/>
  </cols>
  <sheetData>
    <row r="1" spans="1:15" ht="15.75" x14ac:dyDescent="0.25">
      <c r="A1" s="3" t="s">
        <v>0</v>
      </c>
      <c r="B1" s="3" t="s">
        <v>1</v>
      </c>
      <c r="C1" s="3" t="s">
        <v>47</v>
      </c>
      <c r="D1" s="4" t="s">
        <v>45</v>
      </c>
      <c r="E1" s="4" t="s">
        <v>44</v>
      </c>
      <c r="F1" s="3" t="s">
        <v>41</v>
      </c>
      <c r="G1" s="3" t="s">
        <v>43</v>
      </c>
      <c r="H1" s="3" t="s">
        <v>39</v>
      </c>
      <c r="I1" s="32" t="s">
        <v>4</v>
      </c>
      <c r="J1" s="3" t="s">
        <v>5</v>
      </c>
      <c r="K1" s="4" t="s">
        <v>40</v>
      </c>
      <c r="L1" s="3" t="s">
        <v>46</v>
      </c>
      <c r="M1" s="5"/>
    </row>
    <row r="2" spans="1:15" x14ac:dyDescent="0.25">
      <c r="A2" t="s">
        <v>2</v>
      </c>
      <c r="B2" t="s">
        <v>3</v>
      </c>
      <c r="C2" t="s">
        <v>48</v>
      </c>
      <c r="D2" s="2">
        <v>100</v>
      </c>
      <c r="E2" s="2">
        <v>200</v>
      </c>
      <c r="F2">
        <v>6</v>
      </c>
      <c r="G2">
        <v>4</v>
      </c>
      <c r="H2">
        <f t="shared" ref="H2:H65" si="0">F2-G2</f>
        <v>2</v>
      </c>
      <c r="I2" s="33">
        <v>44920</v>
      </c>
      <c r="J2" t="s">
        <v>6</v>
      </c>
      <c r="K2" s="2">
        <f t="shared" ref="K2:K65" si="1">E2*H2</f>
        <v>400</v>
      </c>
      <c r="L2" s="2">
        <f t="shared" ref="L2:L65" si="2">(E2-D2)*H2</f>
        <v>200</v>
      </c>
      <c r="O2" s="2"/>
    </row>
    <row r="3" spans="1:15" x14ac:dyDescent="0.25">
      <c r="A3" t="s">
        <v>7</v>
      </c>
      <c r="B3" t="s">
        <v>3</v>
      </c>
      <c r="C3" t="s">
        <v>77</v>
      </c>
      <c r="D3" s="2">
        <v>200</v>
      </c>
      <c r="E3" s="2">
        <v>300</v>
      </c>
      <c r="F3">
        <v>5</v>
      </c>
      <c r="G3">
        <v>2</v>
      </c>
      <c r="H3">
        <f t="shared" si="0"/>
        <v>3</v>
      </c>
      <c r="I3" s="33">
        <v>44920</v>
      </c>
      <c r="J3" t="s">
        <v>6</v>
      </c>
      <c r="K3" s="2">
        <f t="shared" si="1"/>
        <v>900</v>
      </c>
      <c r="L3" s="2">
        <f t="shared" si="2"/>
        <v>300</v>
      </c>
      <c r="O3" s="2"/>
    </row>
    <row r="4" spans="1:15" x14ac:dyDescent="0.25">
      <c r="A4" t="s">
        <v>23</v>
      </c>
      <c r="B4" t="s">
        <v>3</v>
      </c>
      <c r="C4" t="s">
        <v>52</v>
      </c>
      <c r="D4" s="2">
        <v>150</v>
      </c>
      <c r="E4" s="2">
        <v>250</v>
      </c>
      <c r="F4">
        <v>4</v>
      </c>
      <c r="G4">
        <v>1</v>
      </c>
      <c r="H4">
        <f t="shared" si="0"/>
        <v>3</v>
      </c>
      <c r="I4" s="33">
        <v>44920</v>
      </c>
      <c r="J4" t="s">
        <v>6</v>
      </c>
      <c r="K4" s="2">
        <f t="shared" si="1"/>
        <v>750</v>
      </c>
      <c r="L4" s="2">
        <f t="shared" si="2"/>
        <v>300</v>
      </c>
    </row>
    <row r="5" spans="1:15" x14ac:dyDescent="0.25">
      <c r="A5" t="s">
        <v>9</v>
      </c>
      <c r="B5" t="s">
        <v>3</v>
      </c>
      <c r="C5" t="s">
        <v>53</v>
      </c>
      <c r="D5" s="2">
        <v>100</v>
      </c>
      <c r="E5" s="2">
        <v>200</v>
      </c>
      <c r="F5">
        <v>5</v>
      </c>
      <c r="G5">
        <v>2</v>
      </c>
      <c r="H5">
        <f t="shared" si="0"/>
        <v>3</v>
      </c>
      <c r="I5" s="33">
        <v>44920</v>
      </c>
      <c r="J5" t="s">
        <v>6</v>
      </c>
      <c r="K5" s="2">
        <f t="shared" si="1"/>
        <v>600</v>
      </c>
      <c r="L5" s="2">
        <f t="shared" si="2"/>
        <v>300</v>
      </c>
    </row>
    <row r="6" spans="1:15" x14ac:dyDescent="0.25">
      <c r="A6" t="s">
        <v>2</v>
      </c>
      <c r="B6" t="s">
        <v>12</v>
      </c>
      <c r="C6" t="s">
        <v>49</v>
      </c>
      <c r="D6" s="2">
        <v>250</v>
      </c>
      <c r="E6" s="2">
        <v>350</v>
      </c>
      <c r="F6">
        <v>4</v>
      </c>
      <c r="G6">
        <v>2</v>
      </c>
      <c r="H6">
        <f t="shared" si="0"/>
        <v>2</v>
      </c>
      <c r="I6" s="33">
        <v>44920</v>
      </c>
      <c r="J6" t="s">
        <v>6</v>
      </c>
      <c r="K6" s="2">
        <f t="shared" si="1"/>
        <v>700</v>
      </c>
      <c r="L6" s="2">
        <f t="shared" si="2"/>
        <v>200</v>
      </c>
    </row>
    <row r="7" spans="1:15" x14ac:dyDescent="0.25">
      <c r="A7" t="s">
        <v>7</v>
      </c>
      <c r="B7" t="s">
        <v>12</v>
      </c>
      <c r="C7" t="s">
        <v>54</v>
      </c>
      <c r="D7" s="2">
        <v>300</v>
      </c>
      <c r="E7" s="2">
        <v>400</v>
      </c>
      <c r="F7">
        <v>4</v>
      </c>
      <c r="G7">
        <v>0</v>
      </c>
      <c r="H7">
        <f t="shared" si="0"/>
        <v>4</v>
      </c>
      <c r="I7" s="33">
        <v>44920</v>
      </c>
      <c r="J7" t="s">
        <v>6</v>
      </c>
      <c r="K7" s="2">
        <f t="shared" si="1"/>
        <v>1600</v>
      </c>
      <c r="L7" s="2">
        <f t="shared" si="2"/>
        <v>400</v>
      </c>
    </row>
    <row r="8" spans="1:15" x14ac:dyDescent="0.25">
      <c r="A8" t="s">
        <v>8</v>
      </c>
      <c r="B8" t="s">
        <v>12</v>
      </c>
      <c r="C8" t="s">
        <v>55</v>
      </c>
      <c r="D8" s="2">
        <v>250</v>
      </c>
      <c r="E8" s="2">
        <v>350</v>
      </c>
      <c r="F8">
        <v>4</v>
      </c>
      <c r="G8">
        <v>0</v>
      </c>
      <c r="H8">
        <f t="shared" si="0"/>
        <v>4</v>
      </c>
      <c r="I8" s="33">
        <v>44920</v>
      </c>
      <c r="J8" t="s">
        <v>6</v>
      </c>
      <c r="K8" s="2">
        <f t="shared" si="1"/>
        <v>1400</v>
      </c>
      <c r="L8" s="2">
        <f t="shared" si="2"/>
        <v>400</v>
      </c>
    </row>
    <row r="9" spans="1:15" x14ac:dyDescent="0.25">
      <c r="A9" t="s">
        <v>9</v>
      </c>
      <c r="B9" t="s">
        <v>12</v>
      </c>
      <c r="C9" t="s">
        <v>56</v>
      </c>
      <c r="D9" s="2">
        <v>250</v>
      </c>
      <c r="E9" s="2">
        <v>350</v>
      </c>
      <c r="F9">
        <v>3</v>
      </c>
      <c r="G9">
        <v>2</v>
      </c>
      <c r="H9">
        <f t="shared" si="0"/>
        <v>1</v>
      </c>
      <c r="I9" s="33">
        <v>44920</v>
      </c>
      <c r="J9" t="s">
        <v>6</v>
      </c>
      <c r="K9" s="2">
        <f t="shared" si="1"/>
        <v>350</v>
      </c>
      <c r="L9" s="2">
        <f t="shared" si="2"/>
        <v>100</v>
      </c>
    </row>
    <row r="10" spans="1:15" x14ac:dyDescent="0.25">
      <c r="A10" t="s">
        <v>13</v>
      </c>
      <c r="B10" t="s">
        <v>12</v>
      </c>
      <c r="C10" t="s">
        <v>57</v>
      </c>
      <c r="D10" s="2">
        <v>300</v>
      </c>
      <c r="E10" s="2">
        <v>450</v>
      </c>
      <c r="F10">
        <v>2</v>
      </c>
      <c r="G10">
        <v>1</v>
      </c>
      <c r="H10">
        <f t="shared" si="0"/>
        <v>1</v>
      </c>
      <c r="I10" s="33">
        <v>44920</v>
      </c>
      <c r="J10" t="s">
        <v>6</v>
      </c>
      <c r="K10" s="2">
        <f t="shared" si="1"/>
        <v>450</v>
      </c>
      <c r="L10" s="2">
        <f t="shared" si="2"/>
        <v>150</v>
      </c>
    </row>
    <row r="11" spans="1:15" x14ac:dyDescent="0.25">
      <c r="A11" t="s">
        <v>14</v>
      </c>
      <c r="B11" t="s">
        <v>16</v>
      </c>
      <c r="C11" t="s">
        <v>50</v>
      </c>
      <c r="D11" s="2">
        <v>320</v>
      </c>
      <c r="E11" s="2">
        <v>400</v>
      </c>
      <c r="F11">
        <v>6</v>
      </c>
      <c r="G11">
        <v>3</v>
      </c>
      <c r="H11">
        <f t="shared" si="0"/>
        <v>3</v>
      </c>
      <c r="I11" s="33">
        <v>44920</v>
      </c>
      <c r="J11" t="s">
        <v>6</v>
      </c>
      <c r="K11" s="2">
        <f t="shared" si="1"/>
        <v>1200</v>
      </c>
      <c r="L11" s="2">
        <f t="shared" si="2"/>
        <v>240</v>
      </c>
    </row>
    <row r="12" spans="1:15" x14ac:dyDescent="0.25">
      <c r="A12" t="s">
        <v>15</v>
      </c>
      <c r="B12" t="s">
        <v>16</v>
      </c>
      <c r="C12" t="s">
        <v>58</v>
      </c>
      <c r="D12" s="2">
        <v>100</v>
      </c>
      <c r="E12" s="2">
        <v>150</v>
      </c>
      <c r="F12">
        <v>10</v>
      </c>
      <c r="G12">
        <v>0</v>
      </c>
      <c r="H12">
        <f t="shared" si="0"/>
        <v>10</v>
      </c>
      <c r="I12" s="33">
        <v>44920</v>
      </c>
      <c r="J12" t="s">
        <v>6</v>
      </c>
      <c r="K12" s="2">
        <f t="shared" si="1"/>
        <v>1500</v>
      </c>
      <c r="L12" s="2">
        <f t="shared" si="2"/>
        <v>500</v>
      </c>
    </row>
    <row r="13" spans="1:15" x14ac:dyDescent="0.25">
      <c r="A13" t="s">
        <v>2</v>
      </c>
      <c r="B13" t="s">
        <v>21</v>
      </c>
      <c r="C13" t="s">
        <v>51</v>
      </c>
      <c r="D13" s="2">
        <v>25</v>
      </c>
      <c r="E13" s="2">
        <v>40</v>
      </c>
      <c r="F13">
        <v>32</v>
      </c>
      <c r="G13">
        <v>0</v>
      </c>
      <c r="H13">
        <f t="shared" si="0"/>
        <v>32</v>
      </c>
      <c r="I13" s="33">
        <v>44920</v>
      </c>
      <c r="J13" t="s">
        <v>6</v>
      </c>
      <c r="K13" s="2">
        <f t="shared" si="1"/>
        <v>1280</v>
      </c>
      <c r="L13" s="2">
        <f t="shared" si="2"/>
        <v>480</v>
      </c>
    </row>
    <row r="14" spans="1:15" x14ac:dyDescent="0.25">
      <c r="A14" t="s">
        <v>7</v>
      </c>
      <c r="B14" t="s">
        <v>21</v>
      </c>
      <c r="C14" t="s">
        <v>59</v>
      </c>
      <c r="D14" s="2">
        <v>30</v>
      </c>
      <c r="E14" s="2">
        <v>50</v>
      </c>
      <c r="F14">
        <v>24</v>
      </c>
      <c r="G14">
        <v>14</v>
      </c>
      <c r="H14">
        <f t="shared" si="0"/>
        <v>10</v>
      </c>
      <c r="I14" s="33">
        <v>44920</v>
      </c>
      <c r="J14" t="s">
        <v>6</v>
      </c>
      <c r="K14" s="2">
        <f t="shared" si="1"/>
        <v>500</v>
      </c>
      <c r="L14" s="2">
        <f t="shared" si="2"/>
        <v>200</v>
      </c>
    </row>
    <row r="15" spans="1:15" x14ac:dyDescent="0.25">
      <c r="A15" t="s">
        <v>9</v>
      </c>
      <c r="B15" t="s">
        <v>21</v>
      </c>
      <c r="C15" t="s">
        <v>60</v>
      </c>
      <c r="D15" s="2">
        <v>25</v>
      </c>
      <c r="E15" s="2">
        <v>40</v>
      </c>
      <c r="F15">
        <v>12</v>
      </c>
      <c r="G15">
        <v>0</v>
      </c>
      <c r="H15">
        <f t="shared" si="0"/>
        <v>12</v>
      </c>
      <c r="I15" s="33">
        <v>44920</v>
      </c>
      <c r="J15" t="s">
        <v>6</v>
      </c>
      <c r="K15" s="2">
        <f t="shared" si="1"/>
        <v>480</v>
      </c>
      <c r="L15" s="2">
        <f t="shared" si="2"/>
        <v>180</v>
      </c>
    </row>
    <row r="16" spans="1:15" x14ac:dyDescent="0.25">
      <c r="A16" t="s">
        <v>23</v>
      </c>
      <c r="B16" t="s">
        <v>21</v>
      </c>
      <c r="C16" t="s">
        <v>61</v>
      </c>
      <c r="D16" s="2">
        <v>25</v>
      </c>
      <c r="E16" s="2">
        <v>40</v>
      </c>
      <c r="F16">
        <v>22</v>
      </c>
      <c r="G16">
        <v>0</v>
      </c>
      <c r="H16">
        <f t="shared" si="0"/>
        <v>22</v>
      </c>
      <c r="I16" s="33">
        <v>44920</v>
      </c>
      <c r="J16" t="s">
        <v>6</v>
      </c>
      <c r="K16" s="2">
        <f t="shared" si="1"/>
        <v>880</v>
      </c>
      <c r="L16" s="2">
        <f t="shared" si="2"/>
        <v>330</v>
      </c>
    </row>
    <row r="17" spans="1:12" x14ac:dyDescent="0.25">
      <c r="A17" t="s">
        <v>13</v>
      </c>
      <c r="B17" t="s">
        <v>21</v>
      </c>
      <c r="C17" t="s">
        <v>62</v>
      </c>
      <c r="D17" s="2">
        <v>30</v>
      </c>
      <c r="E17" s="2">
        <v>55</v>
      </c>
      <c r="F17">
        <v>20</v>
      </c>
      <c r="G17">
        <v>1</v>
      </c>
      <c r="H17">
        <f t="shared" si="0"/>
        <v>19</v>
      </c>
      <c r="I17" s="33">
        <v>44920</v>
      </c>
      <c r="J17" t="s">
        <v>6</v>
      </c>
      <c r="K17" s="2">
        <f t="shared" si="1"/>
        <v>1045</v>
      </c>
      <c r="L17" s="2">
        <f t="shared" si="2"/>
        <v>475</v>
      </c>
    </row>
    <row r="18" spans="1:12" x14ac:dyDescent="0.25">
      <c r="A18" t="s">
        <v>17</v>
      </c>
      <c r="B18" t="s">
        <v>21</v>
      </c>
      <c r="C18" t="s">
        <v>63</v>
      </c>
      <c r="D18" s="2">
        <v>40</v>
      </c>
      <c r="E18" s="2">
        <v>65</v>
      </c>
      <c r="F18">
        <v>8</v>
      </c>
      <c r="G18">
        <v>2</v>
      </c>
      <c r="H18">
        <f t="shared" si="0"/>
        <v>6</v>
      </c>
      <c r="I18" s="33">
        <v>44920</v>
      </c>
      <c r="J18" t="s">
        <v>6</v>
      </c>
      <c r="K18" s="2">
        <f t="shared" si="1"/>
        <v>390</v>
      </c>
      <c r="L18" s="2">
        <f t="shared" si="2"/>
        <v>150</v>
      </c>
    </row>
    <row r="19" spans="1:12" x14ac:dyDescent="0.25">
      <c r="A19" t="s">
        <v>34</v>
      </c>
      <c r="B19" t="s">
        <v>21</v>
      </c>
      <c r="C19" t="s">
        <v>64</v>
      </c>
      <c r="D19" s="2">
        <v>50</v>
      </c>
      <c r="E19" s="2">
        <v>70</v>
      </c>
      <c r="F19">
        <v>0</v>
      </c>
      <c r="G19">
        <v>0</v>
      </c>
      <c r="H19">
        <f t="shared" si="0"/>
        <v>0</v>
      </c>
      <c r="I19" s="33">
        <v>44920</v>
      </c>
      <c r="J19" t="s">
        <v>6</v>
      </c>
      <c r="K19" s="2">
        <f t="shared" si="1"/>
        <v>0</v>
      </c>
      <c r="L19" s="2">
        <f t="shared" si="2"/>
        <v>0</v>
      </c>
    </row>
    <row r="20" spans="1:12" x14ac:dyDescent="0.25">
      <c r="A20" t="s">
        <v>18</v>
      </c>
      <c r="B20" t="s">
        <v>21</v>
      </c>
      <c r="C20" t="s">
        <v>65</v>
      </c>
      <c r="D20" s="2">
        <v>20</v>
      </c>
      <c r="E20" s="2">
        <v>30</v>
      </c>
      <c r="F20">
        <v>45</v>
      </c>
      <c r="G20">
        <v>27</v>
      </c>
      <c r="H20">
        <f t="shared" si="0"/>
        <v>18</v>
      </c>
      <c r="I20" s="33">
        <v>44920</v>
      </c>
      <c r="J20" t="s">
        <v>6</v>
      </c>
      <c r="K20" s="2">
        <f t="shared" si="1"/>
        <v>540</v>
      </c>
      <c r="L20" s="2">
        <f t="shared" si="2"/>
        <v>180</v>
      </c>
    </row>
    <row r="21" spans="1:12" x14ac:dyDescent="0.25">
      <c r="A21" t="s">
        <v>19</v>
      </c>
      <c r="B21" t="s">
        <v>21</v>
      </c>
      <c r="C21" t="s">
        <v>66</v>
      </c>
      <c r="D21" s="2">
        <v>10</v>
      </c>
      <c r="E21" s="2">
        <v>20</v>
      </c>
      <c r="F21">
        <v>0</v>
      </c>
      <c r="G21">
        <v>0</v>
      </c>
      <c r="H21">
        <f t="shared" si="0"/>
        <v>0</v>
      </c>
      <c r="I21" s="33">
        <v>44920</v>
      </c>
      <c r="J21" t="s">
        <v>6</v>
      </c>
      <c r="K21" s="2">
        <f t="shared" si="1"/>
        <v>0</v>
      </c>
      <c r="L21" s="2">
        <f t="shared" si="2"/>
        <v>0</v>
      </c>
    </row>
    <row r="22" spans="1:12" x14ac:dyDescent="0.25">
      <c r="A22" t="s">
        <v>20</v>
      </c>
      <c r="B22" t="s">
        <v>21</v>
      </c>
      <c r="C22" t="s">
        <v>67</v>
      </c>
      <c r="D22" s="2">
        <v>60</v>
      </c>
      <c r="E22" s="2">
        <v>100</v>
      </c>
      <c r="F22">
        <v>7</v>
      </c>
      <c r="G22">
        <v>5</v>
      </c>
      <c r="H22">
        <f t="shared" si="0"/>
        <v>2</v>
      </c>
      <c r="I22" s="33">
        <v>44920</v>
      </c>
      <c r="J22" t="s">
        <v>6</v>
      </c>
      <c r="K22" s="2">
        <f t="shared" si="1"/>
        <v>200</v>
      </c>
      <c r="L22" s="2">
        <f t="shared" si="2"/>
        <v>80</v>
      </c>
    </row>
    <row r="23" spans="1:12" x14ac:dyDescent="0.25">
      <c r="A23" t="s">
        <v>22</v>
      </c>
      <c r="B23" t="s">
        <v>24</v>
      </c>
      <c r="C23" t="s">
        <v>68</v>
      </c>
      <c r="D23" s="2">
        <v>50</v>
      </c>
      <c r="E23" s="2">
        <v>70</v>
      </c>
      <c r="F23">
        <v>7</v>
      </c>
      <c r="G23">
        <v>6</v>
      </c>
      <c r="H23">
        <f t="shared" si="0"/>
        <v>1</v>
      </c>
      <c r="I23" s="33">
        <v>44920</v>
      </c>
      <c r="J23" t="s">
        <v>6</v>
      </c>
      <c r="K23" s="2">
        <f t="shared" si="1"/>
        <v>70</v>
      </c>
      <c r="L23" s="2">
        <f t="shared" si="2"/>
        <v>20</v>
      </c>
    </row>
    <row r="24" spans="1:12" x14ac:dyDescent="0.25">
      <c r="A24" t="s">
        <v>25</v>
      </c>
      <c r="B24" t="s">
        <v>24</v>
      </c>
      <c r="C24" t="s">
        <v>69</v>
      </c>
      <c r="D24" s="2">
        <v>45</v>
      </c>
      <c r="E24" s="2">
        <v>65</v>
      </c>
      <c r="F24">
        <v>3</v>
      </c>
      <c r="G24">
        <v>3</v>
      </c>
      <c r="H24">
        <f t="shared" si="0"/>
        <v>0</v>
      </c>
      <c r="I24" s="33">
        <v>44920</v>
      </c>
      <c r="J24" t="s">
        <v>6</v>
      </c>
      <c r="K24" s="2">
        <f t="shared" si="1"/>
        <v>0</v>
      </c>
      <c r="L24" s="2">
        <f t="shared" si="2"/>
        <v>0</v>
      </c>
    </row>
    <row r="25" spans="1:12" x14ac:dyDescent="0.25">
      <c r="A25" t="s">
        <v>26</v>
      </c>
      <c r="B25" t="s">
        <v>24</v>
      </c>
      <c r="C25" t="s">
        <v>70</v>
      </c>
      <c r="D25" s="2">
        <v>50</v>
      </c>
      <c r="E25" s="2">
        <v>70</v>
      </c>
      <c r="F25">
        <v>4</v>
      </c>
      <c r="G25">
        <v>3</v>
      </c>
      <c r="H25">
        <f t="shared" si="0"/>
        <v>1</v>
      </c>
      <c r="I25" s="33">
        <v>44920</v>
      </c>
      <c r="J25" t="s">
        <v>6</v>
      </c>
      <c r="K25" s="2">
        <f t="shared" si="1"/>
        <v>70</v>
      </c>
      <c r="L25" s="2">
        <f t="shared" si="2"/>
        <v>20</v>
      </c>
    </row>
    <row r="26" spans="1:12" x14ac:dyDescent="0.25">
      <c r="A26" t="s">
        <v>27</v>
      </c>
      <c r="B26" t="s">
        <v>24</v>
      </c>
      <c r="C26" t="s">
        <v>71</v>
      </c>
      <c r="D26" s="2">
        <v>10</v>
      </c>
      <c r="E26" s="2">
        <v>15</v>
      </c>
      <c r="F26">
        <v>15</v>
      </c>
      <c r="G26">
        <v>0</v>
      </c>
      <c r="H26">
        <f t="shared" si="0"/>
        <v>15</v>
      </c>
      <c r="I26" s="33">
        <v>44920</v>
      </c>
      <c r="J26" t="s">
        <v>6</v>
      </c>
      <c r="K26" s="2">
        <f t="shared" si="1"/>
        <v>225</v>
      </c>
      <c r="L26" s="2">
        <f t="shared" si="2"/>
        <v>75</v>
      </c>
    </row>
    <row r="27" spans="1:12" x14ac:dyDescent="0.25">
      <c r="A27" t="s">
        <v>28</v>
      </c>
      <c r="B27" t="s">
        <v>24</v>
      </c>
      <c r="C27" t="s">
        <v>72</v>
      </c>
      <c r="D27" s="2">
        <v>20</v>
      </c>
      <c r="E27" s="2">
        <v>25</v>
      </c>
      <c r="F27">
        <v>10</v>
      </c>
      <c r="G27">
        <v>4</v>
      </c>
      <c r="H27">
        <f t="shared" si="0"/>
        <v>6</v>
      </c>
      <c r="I27" s="33">
        <v>44920</v>
      </c>
      <c r="J27" t="s">
        <v>6</v>
      </c>
      <c r="K27" s="2">
        <f t="shared" si="1"/>
        <v>150</v>
      </c>
      <c r="L27" s="2">
        <f t="shared" si="2"/>
        <v>30</v>
      </c>
    </row>
    <row r="28" spans="1:12" x14ac:dyDescent="0.25">
      <c r="A28" t="s">
        <v>29</v>
      </c>
      <c r="B28" t="s">
        <v>30</v>
      </c>
      <c r="C28" t="s">
        <v>73</v>
      </c>
      <c r="D28" s="2">
        <v>25</v>
      </c>
      <c r="E28" s="2">
        <v>30</v>
      </c>
      <c r="F28">
        <v>19</v>
      </c>
      <c r="G28">
        <v>7</v>
      </c>
      <c r="H28">
        <f t="shared" si="0"/>
        <v>12</v>
      </c>
      <c r="I28" s="33">
        <v>44920</v>
      </c>
      <c r="J28" t="s">
        <v>6</v>
      </c>
      <c r="K28" s="2">
        <f t="shared" si="1"/>
        <v>360</v>
      </c>
      <c r="L28" s="2">
        <f t="shared" si="2"/>
        <v>60</v>
      </c>
    </row>
    <row r="29" spans="1:12" x14ac:dyDescent="0.25">
      <c r="A29" t="s">
        <v>31</v>
      </c>
      <c r="B29" t="s">
        <v>30</v>
      </c>
      <c r="C29" t="s">
        <v>74</v>
      </c>
      <c r="D29" s="2">
        <v>25</v>
      </c>
      <c r="E29" s="2">
        <v>30</v>
      </c>
      <c r="F29">
        <v>10</v>
      </c>
      <c r="G29">
        <v>10</v>
      </c>
      <c r="H29">
        <f t="shared" si="0"/>
        <v>0</v>
      </c>
      <c r="I29" s="33">
        <v>44920</v>
      </c>
      <c r="J29" t="s">
        <v>6</v>
      </c>
      <c r="K29" s="2">
        <f t="shared" si="1"/>
        <v>0</v>
      </c>
      <c r="L29" s="2">
        <f t="shared" si="2"/>
        <v>0</v>
      </c>
    </row>
    <row r="30" spans="1:12" x14ac:dyDescent="0.25">
      <c r="A30" t="s">
        <v>32</v>
      </c>
      <c r="B30" t="s">
        <v>30</v>
      </c>
      <c r="C30" t="s">
        <v>75</v>
      </c>
      <c r="D30" s="2">
        <v>25</v>
      </c>
      <c r="E30" s="2">
        <v>30</v>
      </c>
      <c r="F30">
        <v>12</v>
      </c>
      <c r="G30">
        <v>5</v>
      </c>
      <c r="H30">
        <f t="shared" si="0"/>
        <v>7</v>
      </c>
      <c r="I30" s="33">
        <v>44920</v>
      </c>
      <c r="J30" t="s">
        <v>6</v>
      </c>
      <c r="K30" s="2">
        <f t="shared" si="1"/>
        <v>210</v>
      </c>
      <c r="L30" s="2">
        <f t="shared" si="2"/>
        <v>35</v>
      </c>
    </row>
    <row r="31" spans="1:12" x14ac:dyDescent="0.25">
      <c r="A31" t="s">
        <v>33</v>
      </c>
      <c r="B31" t="s">
        <v>30</v>
      </c>
      <c r="C31" t="s">
        <v>76</v>
      </c>
      <c r="D31" s="2">
        <v>30</v>
      </c>
      <c r="E31" s="2">
        <v>35</v>
      </c>
      <c r="F31">
        <v>8</v>
      </c>
      <c r="G31">
        <v>4</v>
      </c>
      <c r="H31">
        <f t="shared" si="0"/>
        <v>4</v>
      </c>
      <c r="I31" s="33">
        <v>44920</v>
      </c>
      <c r="J31" t="s">
        <v>6</v>
      </c>
      <c r="K31" s="2">
        <f t="shared" si="1"/>
        <v>140</v>
      </c>
      <c r="L31" s="2">
        <f t="shared" si="2"/>
        <v>20</v>
      </c>
    </row>
    <row r="32" spans="1:12" x14ac:dyDescent="0.25">
      <c r="A32" t="s">
        <v>2</v>
      </c>
      <c r="B32" t="s">
        <v>3</v>
      </c>
      <c r="C32" t="s">
        <v>48</v>
      </c>
      <c r="D32" s="2">
        <v>100</v>
      </c>
      <c r="E32" s="2">
        <v>200</v>
      </c>
      <c r="F32">
        <v>4</v>
      </c>
      <c r="G32">
        <v>3</v>
      </c>
      <c r="H32">
        <f t="shared" si="0"/>
        <v>1</v>
      </c>
      <c r="I32" s="33">
        <v>44921</v>
      </c>
      <c r="J32" t="s">
        <v>10</v>
      </c>
      <c r="K32" s="2">
        <f t="shared" si="1"/>
        <v>200</v>
      </c>
      <c r="L32" s="2">
        <f t="shared" si="2"/>
        <v>100</v>
      </c>
    </row>
    <row r="33" spans="1:12" x14ac:dyDescent="0.25">
      <c r="A33" t="s">
        <v>7</v>
      </c>
      <c r="B33" t="s">
        <v>3</v>
      </c>
      <c r="C33" t="s">
        <v>77</v>
      </c>
      <c r="D33" s="2">
        <v>200</v>
      </c>
      <c r="E33" s="2">
        <v>300</v>
      </c>
      <c r="F33">
        <v>2</v>
      </c>
      <c r="G33">
        <v>0</v>
      </c>
      <c r="H33">
        <f t="shared" si="0"/>
        <v>2</v>
      </c>
      <c r="I33" s="33">
        <v>44921</v>
      </c>
      <c r="J33" t="s">
        <v>10</v>
      </c>
      <c r="K33" s="2">
        <f t="shared" si="1"/>
        <v>600</v>
      </c>
      <c r="L33" s="2">
        <f t="shared" si="2"/>
        <v>200</v>
      </c>
    </row>
    <row r="34" spans="1:12" x14ac:dyDescent="0.25">
      <c r="A34" t="s">
        <v>23</v>
      </c>
      <c r="B34" t="s">
        <v>3</v>
      </c>
      <c r="C34" t="s">
        <v>52</v>
      </c>
      <c r="D34" s="2">
        <v>150</v>
      </c>
      <c r="E34" s="2">
        <v>250</v>
      </c>
      <c r="F34">
        <v>1</v>
      </c>
      <c r="G34">
        <v>0</v>
      </c>
      <c r="H34">
        <f t="shared" si="0"/>
        <v>1</v>
      </c>
      <c r="I34" s="33">
        <v>44921</v>
      </c>
      <c r="J34" t="s">
        <v>10</v>
      </c>
      <c r="K34" s="2">
        <f t="shared" si="1"/>
        <v>250</v>
      </c>
      <c r="L34" s="2">
        <f t="shared" si="2"/>
        <v>100</v>
      </c>
    </row>
    <row r="35" spans="1:12" x14ac:dyDescent="0.25">
      <c r="A35" t="s">
        <v>9</v>
      </c>
      <c r="B35" t="s">
        <v>3</v>
      </c>
      <c r="C35" t="s">
        <v>53</v>
      </c>
      <c r="D35" s="2">
        <v>100</v>
      </c>
      <c r="E35" s="2">
        <v>200</v>
      </c>
      <c r="F35">
        <v>2</v>
      </c>
      <c r="G35">
        <v>1</v>
      </c>
      <c r="H35">
        <f t="shared" si="0"/>
        <v>1</v>
      </c>
      <c r="I35" s="33">
        <v>44921</v>
      </c>
      <c r="J35" t="s">
        <v>10</v>
      </c>
      <c r="K35" s="2">
        <f t="shared" si="1"/>
        <v>200</v>
      </c>
      <c r="L35" s="2">
        <f t="shared" si="2"/>
        <v>100</v>
      </c>
    </row>
    <row r="36" spans="1:12" x14ac:dyDescent="0.25">
      <c r="A36" t="s">
        <v>2</v>
      </c>
      <c r="B36" t="s">
        <v>12</v>
      </c>
      <c r="C36" t="s">
        <v>49</v>
      </c>
      <c r="D36" s="2">
        <v>250</v>
      </c>
      <c r="E36" s="2">
        <v>350</v>
      </c>
      <c r="F36">
        <v>3</v>
      </c>
      <c r="G36">
        <v>1</v>
      </c>
      <c r="H36">
        <f t="shared" si="0"/>
        <v>2</v>
      </c>
      <c r="I36" s="33">
        <v>44921</v>
      </c>
      <c r="J36" t="s">
        <v>10</v>
      </c>
      <c r="K36" s="2">
        <f t="shared" si="1"/>
        <v>700</v>
      </c>
      <c r="L36" s="2">
        <f t="shared" si="2"/>
        <v>200</v>
      </c>
    </row>
    <row r="37" spans="1:12" x14ac:dyDescent="0.25">
      <c r="A37" t="s">
        <v>7</v>
      </c>
      <c r="B37" t="s">
        <v>12</v>
      </c>
      <c r="C37" t="s">
        <v>54</v>
      </c>
      <c r="D37" s="2">
        <v>300</v>
      </c>
      <c r="E37" s="2">
        <v>400</v>
      </c>
      <c r="F37">
        <v>1</v>
      </c>
      <c r="G37">
        <v>0</v>
      </c>
      <c r="H37">
        <f t="shared" si="0"/>
        <v>1</v>
      </c>
      <c r="I37" s="33">
        <v>44921</v>
      </c>
      <c r="J37" t="s">
        <v>10</v>
      </c>
      <c r="K37" s="2">
        <f t="shared" si="1"/>
        <v>400</v>
      </c>
      <c r="L37" s="2">
        <f t="shared" si="2"/>
        <v>100</v>
      </c>
    </row>
    <row r="38" spans="1:12" x14ac:dyDescent="0.25">
      <c r="A38" t="s">
        <v>8</v>
      </c>
      <c r="B38" t="s">
        <v>12</v>
      </c>
      <c r="C38" t="s">
        <v>55</v>
      </c>
      <c r="D38" s="2">
        <v>250</v>
      </c>
      <c r="E38" s="2">
        <v>350</v>
      </c>
      <c r="F38">
        <v>3</v>
      </c>
      <c r="G38">
        <v>1</v>
      </c>
      <c r="H38">
        <f t="shared" si="0"/>
        <v>2</v>
      </c>
      <c r="I38" s="33">
        <v>44921</v>
      </c>
      <c r="J38" t="s">
        <v>10</v>
      </c>
      <c r="K38" s="2">
        <f t="shared" si="1"/>
        <v>700</v>
      </c>
      <c r="L38" s="2">
        <f t="shared" si="2"/>
        <v>200</v>
      </c>
    </row>
    <row r="39" spans="1:12" x14ac:dyDescent="0.25">
      <c r="A39" t="s">
        <v>9</v>
      </c>
      <c r="B39" t="s">
        <v>12</v>
      </c>
      <c r="C39" t="s">
        <v>56</v>
      </c>
      <c r="D39" s="2">
        <v>250</v>
      </c>
      <c r="E39" s="2">
        <v>350</v>
      </c>
      <c r="F39">
        <v>2</v>
      </c>
      <c r="G39">
        <v>1</v>
      </c>
      <c r="H39">
        <f t="shared" si="0"/>
        <v>1</v>
      </c>
      <c r="I39" s="33">
        <v>44921</v>
      </c>
      <c r="J39" t="s">
        <v>10</v>
      </c>
      <c r="K39" s="2">
        <f t="shared" si="1"/>
        <v>350</v>
      </c>
      <c r="L39" s="2">
        <f t="shared" si="2"/>
        <v>100</v>
      </c>
    </row>
    <row r="40" spans="1:12" x14ac:dyDescent="0.25">
      <c r="A40" t="s">
        <v>13</v>
      </c>
      <c r="B40" t="s">
        <v>12</v>
      </c>
      <c r="C40" t="s">
        <v>57</v>
      </c>
      <c r="D40" s="2">
        <v>300</v>
      </c>
      <c r="E40" s="2">
        <v>450</v>
      </c>
      <c r="F40">
        <v>3</v>
      </c>
      <c r="G40">
        <v>0</v>
      </c>
      <c r="H40">
        <f t="shared" si="0"/>
        <v>3</v>
      </c>
      <c r="I40" s="33">
        <v>44921</v>
      </c>
      <c r="J40" t="s">
        <v>10</v>
      </c>
      <c r="K40" s="2">
        <f t="shared" si="1"/>
        <v>1350</v>
      </c>
      <c r="L40" s="2">
        <f t="shared" si="2"/>
        <v>450</v>
      </c>
    </row>
    <row r="41" spans="1:12" x14ac:dyDescent="0.25">
      <c r="A41" t="s">
        <v>14</v>
      </c>
      <c r="B41" t="s">
        <v>16</v>
      </c>
      <c r="C41" t="s">
        <v>50</v>
      </c>
      <c r="D41" s="2">
        <v>320</v>
      </c>
      <c r="E41" s="2">
        <v>400</v>
      </c>
      <c r="F41">
        <v>3</v>
      </c>
      <c r="G41">
        <v>2</v>
      </c>
      <c r="H41">
        <f t="shared" si="0"/>
        <v>1</v>
      </c>
      <c r="I41" s="33">
        <v>44921</v>
      </c>
      <c r="J41" t="s">
        <v>10</v>
      </c>
      <c r="K41" s="2">
        <f t="shared" si="1"/>
        <v>400</v>
      </c>
      <c r="L41" s="2">
        <f t="shared" si="2"/>
        <v>80</v>
      </c>
    </row>
    <row r="42" spans="1:12" x14ac:dyDescent="0.25">
      <c r="A42" t="s">
        <v>15</v>
      </c>
      <c r="B42" t="s">
        <v>16</v>
      </c>
      <c r="C42" t="s">
        <v>58</v>
      </c>
      <c r="D42" s="2">
        <v>100</v>
      </c>
      <c r="E42" s="2">
        <v>150</v>
      </c>
      <c r="F42">
        <v>0</v>
      </c>
      <c r="G42">
        <v>0</v>
      </c>
      <c r="H42">
        <f t="shared" si="0"/>
        <v>0</v>
      </c>
      <c r="I42" s="33">
        <v>44921</v>
      </c>
      <c r="J42" t="s">
        <v>10</v>
      </c>
      <c r="K42" s="2">
        <f t="shared" si="1"/>
        <v>0</v>
      </c>
      <c r="L42" s="2">
        <f t="shared" si="2"/>
        <v>0</v>
      </c>
    </row>
    <row r="43" spans="1:12" x14ac:dyDescent="0.25">
      <c r="A43" t="s">
        <v>2</v>
      </c>
      <c r="B43" t="s">
        <v>21</v>
      </c>
      <c r="C43" t="s">
        <v>51</v>
      </c>
      <c r="D43" s="2">
        <v>25</v>
      </c>
      <c r="E43" s="2">
        <v>40</v>
      </c>
      <c r="F43">
        <v>10</v>
      </c>
      <c r="G43">
        <v>5</v>
      </c>
      <c r="H43">
        <f t="shared" si="0"/>
        <v>5</v>
      </c>
      <c r="I43" s="33">
        <v>44921</v>
      </c>
      <c r="J43" t="s">
        <v>10</v>
      </c>
      <c r="K43" s="2">
        <f t="shared" si="1"/>
        <v>200</v>
      </c>
      <c r="L43" s="2">
        <f t="shared" si="2"/>
        <v>75</v>
      </c>
    </row>
    <row r="44" spans="1:12" x14ac:dyDescent="0.25">
      <c r="A44" t="s">
        <v>7</v>
      </c>
      <c r="B44" t="s">
        <v>21</v>
      </c>
      <c r="C44" t="s">
        <v>59</v>
      </c>
      <c r="D44" s="2">
        <v>30</v>
      </c>
      <c r="E44" s="2">
        <v>50</v>
      </c>
      <c r="F44">
        <v>14</v>
      </c>
      <c r="G44">
        <v>6</v>
      </c>
      <c r="H44">
        <f t="shared" si="0"/>
        <v>8</v>
      </c>
      <c r="I44" s="33">
        <v>44921</v>
      </c>
      <c r="J44" t="s">
        <v>10</v>
      </c>
      <c r="K44" s="2">
        <f t="shared" si="1"/>
        <v>400</v>
      </c>
      <c r="L44" s="2">
        <f t="shared" si="2"/>
        <v>160</v>
      </c>
    </row>
    <row r="45" spans="1:12" x14ac:dyDescent="0.25">
      <c r="A45" t="s">
        <v>9</v>
      </c>
      <c r="B45" t="s">
        <v>21</v>
      </c>
      <c r="C45" t="s">
        <v>60</v>
      </c>
      <c r="D45" s="2">
        <v>25</v>
      </c>
      <c r="E45" s="2">
        <v>40</v>
      </c>
      <c r="F45">
        <v>10</v>
      </c>
      <c r="G45">
        <v>7</v>
      </c>
      <c r="H45">
        <f t="shared" si="0"/>
        <v>3</v>
      </c>
      <c r="I45" s="33">
        <v>44921</v>
      </c>
      <c r="J45" t="s">
        <v>10</v>
      </c>
      <c r="K45" s="2">
        <f t="shared" si="1"/>
        <v>120</v>
      </c>
      <c r="L45" s="2">
        <f t="shared" si="2"/>
        <v>45</v>
      </c>
    </row>
    <row r="46" spans="1:12" x14ac:dyDescent="0.25">
      <c r="A46" t="s">
        <v>23</v>
      </c>
      <c r="B46" t="s">
        <v>21</v>
      </c>
      <c r="C46" t="s">
        <v>61</v>
      </c>
      <c r="D46" s="2">
        <v>25</v>
      </c>
      <c r="E46" s="2">
        <v>40</v>
      </c>
      <c r="F46">
        <v>12</v>
      </c>
      <c r="G46">
        <v>5</v>
      </c>
      <c r="H46">
        <f t="shared" si="0"/>
        <v>7</v>
      </c>
      <c r="I46" s="33">
        <v>44921</v>
      </c>
      <c r="J46" t="s">
        <v>10</v>
      </c>
      <c r="K46" s="2">
        <f t="shared" si="1"/>
        <v>280</v>
      </c>
      <c r="L46" s="2">
        <f t="shared" si="2"/>
        <v>105</v>
      </c>
    </row>
    <row r="47" spans="1:12" x14ac:dyDescent="0.25">
      <c r="A47" t="s">
        <v>13</v>
      </c>
      <c r="B47" t="s">
        <v>21</v>
      </c>
      <c r="C47" t="s">
        <v>62</v>
      </c>
      <c r="D47" s="2">
        <v>30</v>
      </c>
      <c r="E47" s="2">
        <v>55</v>
      </c>
      <c r="F47">
        <v>9</v>
      </c>
      <c r="G47">
        <v>8</v>
      </c>
      <c r="H47">
        <f t="shared" si="0"/>
        <v>1</v>
      </c>
      <c r="I47" s="33">
        <v>44921</v>
      </c>
      <c r="J47" t="s">
        <v>10</v>
      </c>
      <c r="K47" s="2">
        <f t="shared" si="1"/>
        <v>55</v>
      </c>
      <c r="L47" s="2">
        <f t="shared" si="2"/>
        <v>25</v>
      </c>
    </row>
    <row r="48" spans="1:12" x14ac:dyDescent="0.25">
      <c r="A48" t="s">
        <v>17</v>
      </c>
      <c r="B48" t="s">
        <v>21</v>
      </c>
      <c r="C48" t="s">
        <v>63</v>
      </c>
      <c r="D48" s="2">
        <v>40</v>
      </c>
      <c r="E48" s="2">
        <v>65</v>
      </c>
      <c r="F48">
        <v>12</v>
      </c>
      <c r="G48">
        <v>2</v>
      </c>
      <c r="H48">
        <f t="shared" si="0"/>
        <v>10</v>
      </c>
      <c r="I48" s="33">
        <v>44921</v>
      </c>
      <c r="J48" t="s">
        <v>10</v>
      </c>
      <c r="K48" s="2">
        <f t="shared" si="1"/>
        <v>650</v>
      </c>
      <c r="L48" s="2">
        <f t="shared" si="2"/>
        <v>250</v>
      </c>
    </row>
    <row r="49" spans="1:12" x14ac:dyDescent="0.25">
      <c r="A49" t="s">
        <v>34</v>
      </c>
      <c r="B49" t="s">
        <v>21</v>
      </c>
      <c r="C49" t="s">
        <v>64</v>
      </c>
      <c r="D49" s="2">
        <v>50</v>
      </c>
      <c r="E49" s="2">
        <v>70</v>
      </c>
      <c r="F49">
        <v>0</v>
      </c>
      <c r="G49">
        <v>0</v>
      </c>
      <c r="H49">
        <f t="shared" si="0"/>
        <v>0</v>
      </c>
      <c r="I49" s="33">
        <v>44921</v>
      </c>
      <c r="J49" t="s">
        <v>10</v>
      </c>
      <c r="K49" s="2">
        <f t="shared" si="1"/>
        <v>0</v>
      </c>
      <c r="L49" s="2">
        <f t="shared" si="2"/>
        <v>0</v>
      </c>
    </row>
    <row r="50" spans="1:12" x14ac:dyDescent="0.25">
      <c r="A50" t="s">
        <v>18</v>
      </c>
      <c r="B50" t="s">
        <v>21</v>
      </c>
      <c r="C50" t="s">
        <v>65</v>
      </c>
      <c r="D50" s="2">
        <v>20</v>
      </c>
      <c r="E50" s="2">
        <v>30</v>
      </c>
      <c r="F50">
        <v>27</v>
      </c>
      <c r="G50">
        <v>22</v>
      </c>
      <c r="H50">
        <f t="shared" si="0"/>
        <v>5</v>
      </c>
      <c r="I50" s="33">
        <v>44921</v>
      </c>
      <c r="J50" t="s">
        <v>10</v>
      </c>
      <c r="K50" s="2">
        <f t="shared" si="1"/>
        <v>150</v>
      </c>
      <c r="L50" s="2">
        <f t="shared" si="2"/>
        <v>50</v>
      </c>
    </row>
    <row r="51" spans="1:12" x14ac:dyDescent="0.25">
      <c r="A51" t="s">
        <v>19</v>
      </c>
      <c r="B51" t="s">
        <v>21</v>
      </c>
      <c r="C51" t="s">
        <v>66</v>
      </c>
      <c r="D51" s="2">
        <v>10</v>
      </c>
      <c r="E51" s="2">
        <v>20</v>
      </c>
      <c r="F51">
        <v>0</v>
      </c>
      <c r="G51">
        <v>0</v>
      </c>
      <c r="H51">
        <f t="shared" si="0"/>
        <v>0</v>
      </c>
      <c r="I51" s="33">
        <v>44921</v>
      </c>
      <c r="J51" t="s">
        <v>10</v>
      </c>
      <c r="K51" s="2">
        <f t="shared" si="1"/>
        <v>0</v>
      </c>
      <c r="L51" s="2">
        <f t="shared" si="2"/>
        <v>0</v>
      </c>
    </row>
    <row r="52" spans="1:12" x14ac:dyDescent="0.25">
      <c r="A52" t="s">
        <v>20</v>
      </c>
      <c r="B52" t="s">
        <v>21</v>
      </c>
      <c r="C52" t="s">
        <v>67</v>
      </c>
      <c r="D52" s="2">
        <v>60</v>
      </c>
      <c r="E52" s="2">
        <v>100</v>
      </c>
      <c r="F52">
        <v>5</v>
      </c>
      <c r="G52">
        <v>5</v>
      </c>
      <c r="H52">
        <f t="shared" si="0"/>
        <v>0</v>
      </c>
      <c r="I52" s="33">
        <v>44921</v>
      </c>
      <c r="J52" t="s">
        <v>10</v>
      </c>
      <c r="K52" s="2">
        <f t="shared" si="1"/>
        <v>0</v>
      </c>
      <c r="L52" s="2">
        <f t="shared" si="2"/>
        <v>0</v>
      </c>
    </row>
    <row r="53" spans="1:12" x14ac:dyDescent="0.25">
      <c r="A53" t="s">
        <v>22</v>
      </c>
      <c r="B53" t="s">
        <v>24</v>
      </c>
      <c r="C53" t="s">
        <v>68</v>
      </c>
      <c r="D53" s="2">
        <v>50</v>
      </c>
      <c r="E53" s="2">
        <v>70</v>
      </c>
      <c r="F53">
        <v>6</v>
      </c>
      <c r="G53">
        <v>6</v>
      </c>
      <c r="H53">
        <f t="shared" si="0"/>
        <v>0</v>
      </c>
      <c r="I53" s="33">
        <v>44921</v>
      </c>
      <c r="J53" t="s">
        <v>10</v>
      </c>
      <c r="K53" s="2">
        <f t="shared" si="1"/>
        <v>0</v>
      </c>
      <c r="L53" s="2">
        <f t="shared" si="2"/>
        <v>0</v>
      </c>
    </row>
    <row r="54" spans="1:12" x14ac:dyDescent="0.25">
      <c r="A54" t="s">
        <v>25</v>
      </c>
      <c r="B54" t="s">
        <v>24</v>
      </c>
      <c r="C54" t="s">
        <v>69</v>
      </c>
      <c r="D54" s="2">
        <v>45</v>
      </c>
      <c r="E54" s="2">
        <v>65</v>
      </c>
      <c r="F54">
        <v>4</v>
      </c>
      <c r="G54">
        <v>4</v>
      </c>
      <c r="H54">
        <f t="shared" si="0"/>
        <v>0</v>
      </c>
      <c r="I54" s="33">
        <v>44921</v>
      </c>
      <c r="J54" t="s">
        <v>10</v>
      </c>
      <c r="K54" s="2">
        <f t="shared" si="1"/>
        <v>0</v>
      </c>
      <c r="L54" s="2">
        <f t="shared" si="2"/>
        <v>0</v>
      </c>
    </row>
    <row r="55" spans="1:12" x14ac:dyDescent="0.25">
      <c r="A55" t="s">
        <v>26</v>
      </c>
      <c r="B55" t="s">
        <v>24</v>
      </c>
      <c r="C55" t="s">
        <v>70</v>
      </c>
      <c r="D55" s="2">
        <v>50</v>
      </c>
      <c r="E55" s="2">
        <v>70</v>
      </c>
      <c r="F55">
        <v>3</v>
      </c>
      <c r="G55">
        <v>3</v>
      </c>
      <c r="H55">
        <f t="shared" si="0"/>
        <v>0</v>
      </c>
      <c r="I55" s="33">
        <v>44921</v>
      </c>
      <c r="J55" t="s">
        <v>10</v>
      </c>
      <c r="K55" s="2">
        <f t="shared" si="1"/>
        <v>0</v>
      </c>
      <c r="L55" s="2">
        <f t="shared" si="2"/>
        <v>0</v>
      </c>
    </row>
    <row r="56" spans="1:12" x14ac:dyDescent="0.25">
      <c r="A56" t="s">
        <v>27</v>
      </c>
      <c r="B56" t="s">
        <v>24</v>
      </c>
      <c r="C56" t="s">
        <v>71</v>
      </c>
      <c r="D56" s="2">
        <v>10</v>
      </c>
      <c r="E56" s="2">
        <v>15</v>
      </c>
      <c r="F56">
        <v>10</v>
      </c>
      <c r="G56">
        <v>8</v>
      </c>
      <c r="H56">
        <f t="shared" si="0"/>
        <v>2</v>
      </c>
      <c r="I56" s="33">
        <v>44921</v>
      </c>
      <c r="J56" t="s">
        <v>10</v>
      </c>
      <c r="K56" s="2">
        <f t="shared" si="1"/>
        <v>30</v>
      </c>
      <c r="L56" s="2">
        <f t="shared" si="2"/>
        <v>10</v>
      </c>
    </row>
    <row r="57" spans="1:12" x14ac:dyDescent="0.25">
      <c r="A57" t="s">
        <v>28</v>
      </c>
      <c r="B57" t="s">
        <v>24</v>
      </c>
      <c r="C57" t="s">
        <v>72</v>
      </c>
      <c r="D57" s="2">
        <v>20</v>
      </c>
      <c r="E57" s="2">
        <v>25</v>
      </c>
      <c r="F57">
        <v>11</v>
      </c>
      <c r="G57">
        <v>7</v>
      </c>
      <c r="H57">
        <f t="shared" si="0"/>
        <v>4</v>
      </c>
      <c r="I57" s="33">
        <v>44921</v>
      </c>
      <c r="J57" t="s">
        <v>10</v>
      </c>
      <c r="K57" s="2">
        <f t="shared" si="1"/>
        <v>100</v>
      </c>
      <c r="L57" s="2">
        <f t="shared" si="2"/>
        <v>20</v>
      </c>
    </row>
    <row r="58" spans="1:12" x14ac:dyDescent="0.25">
      <c r="A58" t="s">
        <v>29</v>
      </c>
      <c r="B58" t="s">
        <v>30</v>
      </c>
      <c r="C58" t="s">
        <v>73</v>
      </c>
      <c r="D58" s="2">
        <v>25</v>
      </c>
      <c r="E58" s="2">
        <v>30</v>
      </c>
      <c r="F58">
        <v>7</v>
      </c>
      <c r="G58">
        <v>0</v>
      </c>
      <c r="H58">
        <f t="shared" si="0"/>
        <v>7</v>
      </c>
      <c r="I58" s="33">
        <v>44921</v>
      </c>
      <c r="J58" t="s">
        <v>10</v>
      </c>
      <c r="K58" s="2">
        <f t="shared" si="1"/>
        <v>210</v>
      </c>
      <c r="L58" s="2">
        <f t="shared" si="2"/>
        <v>35</v>
      </c>
    </row>
    <row r="59" spans="1:12" x14ac:dyDescent="0.25">
      <c r="A59" t="s">
        <v>31</v>
      </c>
      <c r="B59" t="s">
        <v>30</v>
      </c>
      <c r="C59" t="s">
        <v>74</v>
      </c>
      <c r="D59" s="2">
        <v>25</v>
      </c>
      <c r="E59" s="2">
        <v>30</v>
      </c>
      <c r="F59">
        <v>10</v>
      </c>
      <c r="G59">
        <v>4</v>
      </c>
      <c r="H59">
        <f t="shared" si="0"/>
        <v>6</v>
      </c>
      <c r="I59" s="33">
        <v>44921</v>
      </c>
      <c r="J59" t="s">
        <v>10</v>
      </c>
      <c r="K59" s="2">
        <f t="shared" si="1"/>
        <v>180</v>
      </c>
      <c r="L59" s="2">
        <f t="shared" si="2"/>
        <v>30</v>
      </c>
    </row>
    <row r="60" spans="1:12" x14ac:dyDescent="0.25">
      <c r="A60" t="s">
        <v>32</v>
      </c>
      <c r="B60" t="s">
        <v>30</v>
      </c>
      <c r="C60" t="s">
        <v>75</v>
      </c>
      <c r="D60" s="2">
        <v>25</v>
      </c>
      <c r="E60" s="2">
        <v>30</v>
      </c>
      <c r="F60">
        <v>5</v>
      </c>
      <c r="G60">
        <v>0</v>
      </c>
      <c r="H60">
        <f t="shared" si="0"/>
        <v>5</v>
      </c>
      <c r="I60" s="33">
        <v>44921</v>
      </c>
      <c r="J60" t="s">
        <v>10</v>
      </c>
      <c r="K60" s="2">
        <f t="shared" si="1"/>
        <v>150</v>
      </c>
      <c r="L60" s="2">
        <f t="shared" si="2"/>
        <v>25</v>
      </c>
    </row>
    <row r="61" spans="1:12" x14ac:dyDescent="0.25">
      <c r="A61" t="s">
        <v>33</v>
      </c>
      <c r="B61" t="s">
        <v>30</v>
      </c>
      <c r="C61" t="s">
        <v>76</v>
      </c>
      <c r="D61" s="2">
        <v>30</v>
      </c>
      <c r="E61" s="2">
        <v>35</v>
      </c>
      <c r="F61">
        <v>4</v>
      </c>
      <c r="G61">
        <v>0</v>
      </c>
      <c r="H61">
        <f t="shared" si="0"/>
        <v>4</v>
      </c>
      <c r="I61" s="33">
        <v>44921</v>
      </c>
      <c r="J61" t="s">
        <v>10</v>
      </c>
      <c r="K61" s="2">
        <f t="shared" si="1"/>
        <v>140</v>
      </c>
      <c r="L61" s="2">
        <f t="shared" si="2"/>
        <v>20</v>
      </c>
    </row>
    <row r="62" spans="1:12" x14ac:dyDescent="0.25">
      <c r="A62" t="s">
        <v>2</v>
      </c>
      <c r="B62" t="s">
        <v>3</v>
      </c>
      <c r="C62" t="s">
        <v>48</v>
      </c>
      <c r="D62" s="2">
        <v>100</v>
      </c>
      <c r="E62" s="2">
        <v>200</v>
      </c>
      <c r="F62">
        <v>3</v>
      </c>
      <c r="G62">
        <v>2</v>
      </c>
      <c r="H62">
        <f t="shared" si="0"/>
        <v>1</v>
      </c>
      <c r="I62" s="33">
        <v>44922</v>
      </c>
      <c r="J62" t="s">
        <v>11</v>
      </c>
      <c r="K62" s="2">
        <f t="shared" si="1"/>
        <v>200</v>
      </c>
      <c r="L62" s="2">
        <f t="shared" si="2"/>
        <v>100</v>
      </c>
    </row>
    <row r="63" spans="1:12" x14ac:dyDescent="0.25">
      <c r="A63" t="s">
        <v>7</v>
      </c>
      <c r="B63" t="s">
        <v>3</v>
      </c>
      <c r="C63" t="s">
        <v>77</v>
      </c>
      <c r="D63" s="2">
        <v>200</v>
      </c>
      <c r="E63" s="2">
        <v>300</v>
      </c>
      <c r="F63">
        <v>0</v>
      </c>
      <c r="G63">
        <v>0</v>
      </c>
      <c r="H63">
        <f t="shared" si="0"/>
        <v>0</v>
      </c>
      <c r="I63" s="33">
        <v>44922</v>
      </c>
      <c r="J63" t="s">
        <v>11</v>
      </c>
      <c r="K63" s="2">
        <f t="shared" si="1"/>
        <v>0</v>
      </c>
      <c r="L63" s="2">
        <f t="shared" si="2"/>
        <v>0</v>
      </c>
    </row>
    <row r="64" spans="1:12" x14ac:dyDescent="0.25">
      <c r="A64" t="s">
        <v>23</v>
      </c>
      <c r="B64" t="s">
        <v>3</v>
      </c>
      <c r="C64" t="s">
        <v>52</v>
      </c>
      <c r="D64" s="2">
        <v>150</v>
      </c>
      <c r="E64" s="2">
        <v>250</v>
      </c>
      <c r="F64">
        <v>0</v>
      </c>
      <c r="G64">
        <v>0</v>
      </c>
      <c r="H64">
        <f t="shared" si="0"/>
        <v>0</v>
      </c>
      <c r="I64" s="33">
        <v>44922</v>
      </c>
      <c r="J64" t="s">
        <v>11</v>
      </c>
      <c r="K64" s="2">
        <f t="shared" si="1"/>
        <v>0</v>
      </c>
      <c r="L64" s="2">
        <f t="shared" si="2"/>
        <v>0</v>
      </c>
    </row>
    <row r="65" spans="1:12" x14ac:dyDescent="0.25">
      <c r="A65" t="s">
        <v>9</v>
      </c>
      <c r="B65" t="s">
        <v>3</v>
      </c>
      <c r="C65" t="s">
        <v>53</v>
      </c>
      <c r="D65" s="2">
        <v>100</v>
      </c>
      <c r="E65" s="2">
        <v>200</v>
      </c>
      <c r="F65">
        <v>1</v>
      </c>
      <c r="G65">
        <v>1</v>
      </c>
      <c r="H65">
        <f t="shared" si="0"/>
        <v>0</v>
      </c>
      <c r="I65" s="33">
        <v>44922</v>
      </c>
      <c r="J65" t="s">
        <v>11</v>
      </c>
      <c r="K65" s="2">
        <f t="shared" si="1"/>
        <v>0</v>
      </c>
      <c r="L65" s="2">
        <f t="shared" si="2"/>
        <v>0</v>
      </c>
    </row>
    <row r="66" spans="1:12" x14ac:dyDescent="0.25">
      <c r="A66" t="s">
        <v>2</v>
      </c>
      <c r="B66" t="s">
        <v>12</v>
      </c>
      <c r="C66" t="s">
        <v>49</v>
      </c>
      <c r="D66" s="2">
        <v>250</v>
      </c>
      <c r="E66" s="2">
        <v>350</v>
      </c>
      <c r="F66">
        <v>1</v>
      </c>
      <c r="G66">
        <v>1</v>
      </c>
      <c r="H66">
        <f t="shared" ref="H66:H129" si="3">F66-G66</f>
        <v>0</v>
      </c>
      <c r="I66" s="33">
        <v>44922</v>
      </c>
      <c r="J66" t="s">
        <v>11</v>
      </c>
      <c r="K66" s="2">
        <f t="shared" ref="K66:K129" si="4">E66*H66</f>
        <v>0</v>
      </c>
      <c r="L66" s="2">
        <f t="shared" ref="L66:L129" si="5">(E66-D66)*H66</f>
        <v>0</v>
      </c>
    </row>
    <row r="67" spans="1:12" x14ac:dyDescent="0.25">
      <c r="A67" t="s">
        <v>7</v>
      </c>
      <c r="B67" t="s">
        <v>12</v>
      </c>
      <c r="C67" t="s">
        <v>54</v>
      </c>
      <c r="D67" s="2">
        <v>300</v>
      </c>
      <c r="E67" s="2">
        <v>400</v>
      </c>
      <c r="F67">
        <v>1</v>
      </c>
      <c r="G67">
        <v>1</v>
      </c>
      <c r="H67">
        <f t="shared" si="3"/>
        <v>0</v>
      </c>
      <c r="I67" s="33">
        <v>44922</v>
      </c>
      <c r="J67" t="s">
        <v>11</v>
      </c>
      <c r="K67" s="2">
        <f t="shared" si="4"/>
        <v>0</v>
      </c>
      <c r="L67" s="2">
        <f t="shared" si="5"/>
        <v>0</v>
      </c>
    </row>
    <row r="68" spans="1:12" x14ac:dyDescent="0.25">
      <c r="A68" t="s">
        <v>8</v>
      </c>
      <c r="B68" t="s">
        <v>12</v>
      </c>
      <c r="C68" t="s">
        <v>55</v>
      </c>
      <c r="D68" s="2">
        <v>250</v>
      </c>
      <c r="E68" s="2">
        <v>350</v>
      </c>
      <c r="F68">
        <v>2</v>
      </c>
      <c r="G68">
        <v>2</v>
      </c>
      <c r="H68">
        <f t="shared" si="3"/>
        <v>0</v>
      </c>
      <c r="I68" s="33">
        <v>44922</v>
      </c>
      <c r="J68" t="s">
        <v>11</v>
      </c>
      <c r="K68" s="2">
        <f t="shared" si="4"/>
        <v>0</v>
      </c>
      <c r="L68" s="2">
        <f t="shared" si="5"/>
        <v>0</v>
      </c>
    </row>
    <row r="69" spans="1:12" x14ac:dyDescent="0.25">
      <c r="A69" t="s">
        <v>9</v>
      </c>
      <c r="B69" t="s">
        <v>12</v>
      </c>
      <c r="C69" t="s">
        <v>56</v>
      </c>
      <c r="D69" s="2">
        <v>250</v>
      </c>
      <c r="E69" s="2">
        <v>350</v>
      </c>
      <c r="F69">
        <v>2</v>
      </c>
      <c r="G69">
        <v>1</v>
      </c>
      <c r="H69">
        <f t="shared" si="3"/>
        <v>1</v>
      </c>
      <c r="I69" s="33">
        <v>44922</v>
      </c>
      <c r="J69" t="s">
        <v>11</v>
      </c>
      <c r="K69" s="2">
        <f t="shared" si="4"/>
        <v>350</v>
      </c>
      <c r="L69" s="2">
        <f t="shared" si="5"/>
        <v>100</v>
      </c>
    </row>
    <row r="70" spans="1:12" x14ac:dyDescent="0.25">
      <c r="A70" t="s">
        <v>13</v>
      </c>
      <c r="B70" t="s">
        <v>12</v>
      </c>
      <c r="C70" t="s">
        <v>57</v>
      </c>
      <c r="D70" s="2">
        <v>300</v>
      </c>
      <c r="E70" s="2">
        <v>450</v>
      </c>
      <c r="F70">
        <v>0</v>
      </c>
      <c r="G70">
        <v>0</v>
      </c>
      <c r="H70">
        <f t="shared" si="3"/>
        <v>0</v>
      </c>
      <c r="I70" s="33">
        <v>44922</v>
      </c>
      <c r="J70" t="s">
        <v>11</v>
      </c>
      <c r="K70" s="2">
        <f t="shared" si="4"/>
        <v>0</v>
      </c>
      <c r="L70" s="2">
        <f t="shared" si="5"/>
        <v>0</v>
      </c>
    </row>
    <row r="71" spans="1:12" x14ac:dyDescent="0.25">
      <c r="A71" t="s">
        <v>14</v>
      </c>
      <c r="B71" t="s">
        <v>16</v>
      </c>
      <c r="C71" t="s">
        <v>50</v>
      </c>
      <c r="D71" s="2">
        <v>320</v>
      </c>
      <c r="E71" s="2">
        <v>400</v>
      </c>
      <c r="F71">
        <v>2</v>
      </c>
      <c r="G71">
        <v>2</v>
      </c>
      <c r="H71">
        <f t="shared" si="3"/>
        <v>0</v>
      </c>
      <c r="I71" s="33">
        <v>44922</v>
      </c>
      <c r="J71" t="s">
        <v>11</v>
      </c>
      <c r="K71" s="2">
        <f t="shared" si="4"/>
        <v>0</v>
      </c>
      <c r="L71" s="2">
        <f t="shared" si="5"/>
        <v>0</v>
      </c>
    </row>
    <row r="72" spans="1:12" x14ac:dyDescent="0.25">
      <c r="A72" t="s">
        <v>15</v>
      </c>
      <c r="B72" t="s">
        <v>16</v>
      </c>
      <c r="C72" t="s">
        <v>58</v>
      </c>
      <c r="D72" s="2">
        <v>100</v>
      </c>
      <c r="E72" s="2">
        <v>150</v>
      </c>
      <c r="F72">
        <v>0</v>
      </c>
      <c r="G72">
        <v>0</v>
      </c>
      <c r="H72">
        <f t="shared" si="3"/>
        <v>0</v>
      </c>
      <c r="I72" s="33">
        <v>44922</v>
      </c>
      <c r="J72" t="s">
        <v>11</v>
      </c>
      <c r="K72" s="2">
        <f t="shared" si="4"/>
        <v>0</v>
      </c>
      <c r="L72" s="2">
        <f t="shared" si="5"/>
        <v>0</v>
      </c>
    </row>
    <row r="73" spans="1:12" x14ac:dyDescent="0.25">
      <c r="A73" t="s">
        <v>2</v>
      </c>
      <c r="B73" t="s">
        <v>21</v>
      </c>
      <c r="C73" t="s">
        <v>51</v>
      </c>
      <c r="D73" s="2">
        <v>25</v>
      </c>
      <c r="E73" s="2">
        <v>40</v>
      </c>
      <c r="F73">
        <v>5</v>
      </c>
      <c r="G73">
        <v>4</v>
      </c>
      <c r="H73">
        <f t="shared" si="3"/>
        <v>1</v>
      </c>
      <c r="I73" s="33">
        <v>44922</v>
      </c>
      <c r="J73" t="s">
        <v>11</v>
      </c>
      <c r="K73" s="2">
        <f t="shared" si="4"/>
        <v>40</v>
      </c>
      <c r="L73" s="2">
        <f t="shared" si="5"/>
        <v>15</v>
      </c>
    </row>
    <row r="74" spans="1:12" x14ac:dyDescent="0.25">
      <c r="A74" t="s">
        <v>7</v>
      </c>
      <c r="B74" t="s">
        <v>21</v>
      </c>
      <c r="C74" t="s">
        <v>59</v>
      </c>
      <c r="D74" s="2">
        <v>30</v>
      </c>
      <c r="E74" s="2">
        <v>50</v>
      </c>
      <c r="F74">
        <v>6</v>
      </c>
      <c r="G74">
        <v>2</v>
      </c>
      <c r="H74">
        <f t="shared" si="3"/>
        <v>4</v>
      </c>
      <c r="I74" s="33">
        <v>44922</v>
      </c>
      <c r="J74" t="s">
        <v>11</v>
      </c>
      <c r="K74" s="2">
        <f t="shared" si="4"/>
        <v>200</v>
      </c>
      <c r="L74" s="2">
        <f t="shared" si="5"/>
        <v>80</v>
      </c>
    </row>
    <row r="75" spans="1:12" x14ac:dyDescent="0.25">
      <c r="A75" t="s">
        <v>9</v>
      </c>
      <c r="B75" t="s">
        <v>21</v>
      </c>
      <c r="C75" t="s">
        <v>60</v>
      </c>
      <c r="D75" s="2">
        <v>25</v>
      </c>
      <c r="E75" s="2">
        <v>40</v>
      </c>
      <c r="F75">
        <v>7</v>
      </c>
      <c r="G75">
        <v>4</v>
      </c>
      <c r="H75">
        <f t="shared" si="3"/>
        <v>3</v>
      </c>
      <c r="I75" s="33">
        <v>44922</v>
      </c>
      <c r="J75" t="s">
        <v>11</v>
      </c>
      <c r="K75" s="2">
        <f t="shared" si="4"/>
        <v>120</v>
      </c>
      <c r="L75" s="2">
        <f t="shared" si="5"/>
        <v>45</v>
      </c>
    </row>
    <row r="76" spans="1:12" x14ac:dyDescent="0.25">
      <c r="A76" t="s">
        <v>23</v>
      </c>
      <c r="B76" t="s">
        <v>21</v>
      </c>
      <c r="C76" t="s">
        <v>61</v>
      </c>
      <c r="D76" s="2">
        <v>25</v>
      </c>
      <c r="E76" s="2">
        <v>40</v>
      </c>
      <c r="F76">
        <v>5</v>
      </c>
      <c r="G76">
        <v>2</v>
      </c>
      <c r="H76">
        <f t="shared" si="3"/>
        <v>3</v>
      </c>
      <c r="I76" s="33">
        <v>44922</v>
      </c>
      <c r="J76" t="s">
        <v>11</v>
      </c>
      <c r="K76" s="2">
        <f t="shared" si="4"/>
        <v>120</v>
      </c>
      <c r="L76" s="2">
        <f t="shared" si="5"/>
        <v>45</v>
      </c>
    </row>
    <row r="77" spans="1:12" x14ac:dyDescent="0.25">
      <c r="A77" t="s">
        <v>13</v>
      </c>
      <c r="B77" t="s">
        <v>21</v>
      </c>
      <c r="C77" t="s">
        <v>62</v>
      </c>
      <c r="D77" s="2">
        <v>30</v>
      </c>
      <c r="E77" s="2">
        <v>55</v>
      </c>
      <c r="F77">
        <v>8</v>
      </c>
      <c r="G77">
        <v>3</v>
      </c>
      <c r="H77">
        <f t="shared" si="3"/>
        <v>5</v>
      </c>
      <c r="I77" s="33">
        <v>44922</v>
      </c>
      <c r="J77" t="s">
        <v>11</v>
      </c>
      <c r="K77" s="2">
        <f t="shared" si="4"/>
        <v>275</v>
      </c>
      <c r="L77" s="2">
        <f t="shared" si="5"/>
        <v>125</v>
      </c>
    </row>
    <row r="78" spans="1:12" x14ac:dyDescent="0.25">
      <c r="A78" t="s">
        <v>17</v>
      </c>
      <c r="B78" t="s">
        <v>21</v>
      </c>
      <c r="C78" t="s">
        <v>63</v>
      </c>
      <c r="D78" s="2">
        <v>40</v>
      </c>
      <c r="E78" s="2">
        <v>65</v>
      </c>
      <c r="F78">
        <v>2</v>
      </c>
      <c r="G78">
        <v>0</v>
      </c>
      <c r="H78">
        <f t="shared" si="3"/>
        <v>2</v>
      </c>
      <c r="I78" s="33">
        <v>44922</v>
      </c>
      <c r="J78" t="s">
        <v>11</v>
      </c>
      <c r="K78" s="2">
        <f t="shared" si="4"/>
        <v>130</v>
      </c>
      <c r="L78" s="2">
        <f t="shared" si="5"/>
        <v>50</v>
      </c>
    </row>
    <row r="79" spans="1:12" x14ac:dyDescent="0.25">
      <c r="A79" t="s">
        <v>34</v>
      </c>
      <c r="B79" t="s">
        <v>21</v>
      </c>
      <c r="C79" t="s">
        <v>64</v>
      </c>
      <c r="D79" s="2">
        <v>50</v>
      </c>
      <c r="E79" s="2">
        <v>70</v>
      </c>
      <c r="F79">
        <v>4</v>
      </c>
      <c r="G79">
        <v>3</v>
      </c>
      <c r="H79">
        <f t="shared" si="3"/>
        <v>1</v>
      </c>
      <c r="I79" s="33">
        <v>44922</v>
      </c>
      <c r="J79" t="s">
        <v>11</v>
      </c>
      <c r="K79" s="2">
        <f t="shared" si="4"/>
        <v>70</v>
      </c>
      <c r="L79" s="2">
        <f t="shared" si="5"/>
        <v>20</v>
      </c>
    </row>
    <row r="80" spans="1:12" x14ac:dyDescent="0.25">
      <c r="A80" t="s">
        <v>18</v>
      </c>
      <c r="B80" t="s">
        <v>21</v>
      </c>
      <c r="C80" t="s">
        <v>65</v>
      </c>
      <c r="D80" s="2">
        <v>20</v>
      </c>
      <c r="E80" s="2">
        <v>30</v>
      </c>
      <c r="F80">
        <v>22</v>
      </c>
      <c r="G80">
        <v>19</v>
      </c>
      <c r="H80">
        <f t="shared" si="3"/>
        <v>3</v>
      </c>
      <c r="I80" s="33">
        <v>44922</v>
      </c>
      <c r="J80" t="s">
        <v>11</v>
      </c>
      <c r="K80" s="2">
        <f t="shared" si="4"/>
        <v>90</v>
      </c>
      <c r="L80" s="2">
        <f t="shared" si="5"/>
        <v>30</v>
      </c>
    </row>
    <row r="81" spans="1:12" x14ac:dyDescent="0.25">
      <c r="A81" t="s">
        <v>19</v>
      </c>
      <c r="B81" t="s">
        <v>21</v>
      </c>
      <c r="C81" t="s">
        <v>66</v>
      </c>
      <c r="D81" s="2">
        <v>10</v>
      </c>
      <c r="E81" s="2">
        <v>20</v>
      </c>
      <c r="F81">
        <v>6</v>
      </c>
      <c r="G81">
        <v>6</v>
      </c>
      <c r="H81">
        <f t="shared" si="3"/>
        <v>0</v>
      </c>
      <c r="I81" s="33">
        <v>44922</v>
      </c>
      <c r="J81" t="s">
        <v>11</v>
      </c>
      <c r="K81" s="2">
        <f t="shared" si="4"/>
        <v>0</v>
      </c>
      <c r="L81" s="2">
        <f t="shared" si="5"/>
        <v>0</v>
      </c>
    </row>
    <row r="82" spans="1:12" x14ac:dyDescent="0.25">
      <c r="A82" t="s">
        <v>20</v>
      </c>
      <c r="B82" t="s">
        <v>21</v>
      </c>
      <c r="C82" t="s">
        <v>67</v>
      </c>
      <c r="D82" s="2">
        <v>60</v>
      </c>
      <c r="E82" s="2">
        <v>100</v>
      </c>
      <c r="F82">
        <v>5</v>
      </c>
      <c r="G82">
        <v>5</v>
      </c>
      <c r="H82">
        <f t="shared" si="3"/>
        <v>0</v>
      </c>
      <c r="I82" s="33">
        <v>44922</v>
      </c>
      <c r="J82" t="s">
        <v>11</v>
      </c>
      <c r="K82" s="2">
        <f t="shared" si="4"/>
        <v>0</v>
      </c>
      <c r="L82" s="2">
        <f t="shared" si="5"/>
        <v>0</v>
      </c>
    </row>
    <row r="83" spans="1:12" x14ac:dyDescent="0.25">
      <c r="A83" t="s">
        <v>22</v>
      </c>
      <c r="B83" t="s">
        <v>24</v>
      </c>
      <c r="C83" t="s">
        <v>68</v>
      </c>
      <c r="D83" s="2">
        <v>50</v>
      </c>
      <c r="E83" s="2">
        <v>70</v>
      </c>
      <c r="F83">
        <v>6</v>
      </c>
      <c r="G83">
        <v>5</v>
      </c>
      <c r="H83">
        <f t="shared" si="3"/>
        <v>1</v>
      </c>
      <c r="I83" s="33">
        <v>44922</v>
      </c>
      <c r="J83" t="s">
        <v>11</v>
      </c>
      <c r="K83" s="2">
        <f t="shared" si="4"/>
        <v>70</v>
      </c>
      <c r="L83" s="2">
        <f t="shared" si="5"/>
        <v>20</v>
      </c>
    </row>
    <row r="84" spans="1:12" x14ac:dyDescent="0.25">
      <c r="A84" t="s">
        <v>25</v>
      </c>
      <c r="B84" t="s">
        <v>24</v>
      </c>
      <c r="C84" t="s">
        <v>69</v>
      </c>
      <c r="D84" s="2">
        <v>45</v>
      </c>
      <c r="E84" s="2">
        <v>65</v>
      </c>
      <c r="F84">
        <v>4</v>
      </c>
      <c r="G84">
        <v>4</v>
      </c>
      <c r="H84">
        <f t="shared" si="3"/>
        <v>0</v>
      </c>
      <c r="I84" s="33">
        <v>44922</v>
      </c>
      <c r="J84" t="s">
        <v>11</v>
      </c>
      <c r="K84" s="2">
        <f t="shared" si="4"/>
        <v>0</v>
      </c>
      <c r="L84" s="2">
        <f t="shared" si="5"/>
        <v>0</v>
      </c>
    </row>
    <row r="85" spans="1:12" x14ac:dyDescent="0.25">
      <c r="A85" t="s">
        <v>26</v>
      </c>
      <c r="B85" t="s">
        <v>24</v>
      </c>
      <c r="C85" t="s">
        <v>70</v>
      </c>
      <c r="D85" s="2">
        <v>50</v>
      </c>
      <c r="E85" s="2">
        <v>70</v>
      </c>
      <c r="F85">
        <v>3</v>
      </c>
      <c r="G85">
        <v>3</v>
      </c>
      <c r="H85">
        <f t="shared" si="3"/>
        <v>0</v>
      </c>
      <c r="I85" s="33">
        <v>44922</v>
      </c>
      <c r="J85" t="s">
        <v>11</v>
      </c>
      <c r="K85" s="2">
        <f t="shared" si="4"/>
        <v>0</v>
      </c>
      <c r="L85" s="2">
        <f t="shared" si="5"/>
        <v>0</v>
      </c>
    </row>
    <row r="86" spans="1:12" x14ac:dyDescent="0.25">
      <c r="A86" t="s">
        <v>27</v>
      </c>
      <c r="B86" t="s">
        <v>24</v>
      </c>
      <c r="C86" t="s">
        <v>71</v>
      </c>
      <c r="D86" s="2">
        <v>10</v>
      </c>
      <c r="E86" s="2">
        <v>15</v>
      </c>
      <c r="F86">
        <v>8</v>
      </c>
      <c r="G86">
        <v>6</v>
      </c>
      <c r="H86">
        <f t="shared" si="3"/>
        <v>2</v>
      </c>
      <c r="I86" s="33">
        <v>44922</v>
      </c>
      <c r="J86" t="s">
        <v>11</v>
      </c>
      <c r="K86" s="2">
        <f t="shared" si="4"/>
        <v>30</v>
      </c>
      <c r="L86" s="2">
        <f t="shared" si="5"/>
        <v>10</v>
      </c>
    </row>
    <row r="87" spans="1:12" x14ac:dyDescent="0.25">
      <c r="A87" t="s">
        <v>28</v>
      </c>
      <c r="B87" t="s">
        <v>24</v>
      </c>
      <c r="C87" t="s">
        <v>72</v>
      </c>
      <c r="D87" s="2">
        <v>20</v>
      </c>
      <c r="E87" s="2">
        <v>25</v>
      </c>
      <c r="F87">
        <v>7</v>
      </c>
      <c r="G87">
        <v>6</v>
      </c>
      <c r="H87">
        <f t="shared" si="3"/>
        <v>1</v>
      </c>
      <c r="I87" s="33">
        <v>44922</v>
      </c>
      <c r="J87" t="s">
        <v>11</v>
      </c>
      <c r="K87" s="2">
        <f t="shared" si="4"/>
        <v>25</v>
      </c>
      <c r="L87" s="2">
        <f t="shared" si="5"/>
        <v>5</v>
      </c>
    </row>
    <row r="88" spans="1:12" x14ac:dyDescent="0.25">
      <c r="A88" t="s">
        <v>29</v>
      </c>
      <c r="B88" t="s">
        <v>30</v>
      </c>
      <c r="C88" t="s">
        <v>73</v>
      </c>
      <c r="D88" s="2">
        <v>25</v>
      </c>
      <c r="E88" s="2">
        <v>30</v>
      </c>
      <c r="F88">
        <v>0</v>
      </c>
      <c r="G88">
        <v>0</v>
      </c>
      <c r="H88">
        <f t="shared" si="3"/>
        <v>0</v>
      </c>
      <c r="I88" s="33">
        <v>44922</v>
      </c>
      <c r="J88" t="s">
        <v>11</v>
      </c>
      <c r="K88" s="2">
        <f t="shared" si="4"/>
        <v>0</v>
      </c>
      <c r="L88" s="2">
        <f t="shared" si="5"/>
        <v>0</v>
      </c>
    </row>
    <row r="89" spans="1:12" x14ac:dyDescent="0.25">
      <c r="A89" t="s">
        <v>31</v>
      </c>
      <c r="B89" t="s">
        <v>30</v>
      </c>
      <c r="C89" t="s">
        <v>74</v>
      </c>
      <c r="D89" s="2">
        <v>25</v>
      </c>
      <c r="E89" s="2">
        <v>30</v>
      </c>
      <c r="F89">
        <v>6</v>
      </c>
      <c r="G89">
        <v>5</v>
      </c>
      <c r="H89">
        <f t="shared" si="3"/>
        <v>1</v>
      </c>
      <c r="I89" s="33">
        <v>44922</v>
      </c>
      <c r="J89" t="s">
        <v>11</v>
      </c>
      <c r="K89" s="2">
        <f t="shared" si="4"/>
        <v>30</v>
      </c>
      <c r="L89" s="2">
        <f t="shared" si="5"/>
        <v>5</v>
      </c>
    </row>
    <row r="90" spans="1:12" x14ac:dyDescent="0.25">
      <c r="A90" t="s">
        <v>32</v>
      </c>
      <c r="B90" t="s">
        <v>30</v>
      </c>
      <c r="C90" t="s">
        <v>75</v>
      </c>
      <c r="D90" s="2">
        <v>25</v>
      </c>
      <c r="E90" s="2">
        <v>30</v>
      </c>
      <c r="F90">
        <v>0</v>
      </c>
      <c r="G90">
        <v>0</v>
      </c>
      <c r="H90">
        <f t="shared" si="3"/>
        <v>0</v>
      </c>
      <c r="I90" s="33">
        <v>44922</v>
      </c>
      <c r="J90" t="s">
        <v>11</v>
      </c>
      <c r="K90" s="2">
        <f t="shared" si="4"/>
        <v>0</v>
      </c>
      <c r="L90" s="2">
        <f t="shared" si="5"/>
        <v>0</v>
      </c>
    </row>
    <row r="91" spans="1:12" x14ac:dyDescent="0.25">
      <c r="A91" t="s">
        <v>33</v>
      </c>
      <c r="B91" t="s">
        <v>30</v>
      </c>
      <c r="C91" t="s">
        <v>76</v>
      </c>
      <c r="D91" s="2">
        <v>30</v>
      </c>
      <c r="E91" s="2">
        <v>35</v>
      </c>
      <c r="F91">
        <v>0</v>
      </c>
      <c r="G91">
        <v>0</v>
      </c>
      <c r="H91">
        <f t="shared" si="3"/>
        <v>0</v>
      </c>
      <c r="I91" s="33">
        <v>44922</v>
      </c>
      <c r="J91" t="s">
        <v>11</v>
      </c>
      <c r="K91" s="2">
        <f t="shared" si="4"/>
        <v>0</v>
      </c>
      <c r="L91" s="2">
        <f t="shared" si="5"/>
        <v>0</v>
      </c>
    </row>
    <row r="92" spans="1:12" x14ac:dyDescent="0.25">
      <c r="A92" t="s">
        <v>2</v>
      </c>
      <c r="B92" t="s">
        <v>3</v>
      </c>
      <c r="C92" t="s">
        <v>48</v>
      </c>
      <c r="D92" s="2">
        <v>100</v>
      </c>
      <c r="E92" s="2">
        <v>200</v>
      </c>
      <c r="F92">
        <v>3</v>
      </c>
      <c r="G92">
        <v>2</v>
      </c>
      <c r="H92">
        <f t="shared" si="3"/>
        <v>1</v>
      </c>
      <c r="I92" s="33">
        <v>44923</v>
      </c>
      <c r="J92" t="s">
        <v>35</v>
      </c>
      <c r="K92" s="2">
        <f t="shared" si="4"/>
        <v>200</v>
      </c>
      <c r="L92" s="2">
        <f t="shared" si="5"/>
        <v>100</v>
      </c>
    </row>
    <row r="93" spans="1:12" x14ac:dyDescent="0.25">
      <c r="A93" t="s">
        <v>7</v>
      </c>
      <c r="B93" t="s">
        <v>3</v>
      </c>
      <c r="C93" t="s">
        <v>77</v>
      </c>
      <c r="D93" s="2">
        <v>200</v>
      </c>
      <c r="E93" s="2">
        <v>300</v>
      </c>
      <c r="F93">
        <v>3</v>
      </c>
      <c r="G93">
        <v>1</v>
      </c>
      <c r="H93">
        <f t="shared" si="3"/>
        <v>2</v>
      </c>
      <c r="I93" s="33">
        <v>44923</v>
      </c>
      <c r="J93" t="s">
        <v>35</v>
      </c>
      <c r="K93" s="2">
        <f t="shared" si="4"/>
        <v>600</v>
      </c>
      <c r="L93" s="2">
        <f t="shared" si="5"/>
        <v>200</v>
      </c>
    </row>
    <row r="94" spans="1:12" x14ac:dyDescent="0.25">
      <c r="A94" t="s">
        <v>23</v>
      </c>
      <c r="B94" t="s">
        <v>3</v>
      </c>
      <c r="C94" t="s">
        <v>52</v>
      </c>
      <c r="D94" s="2">
        <v>150</v>
      </c>
      <c r="E94" s="2">
        <v>250</v>
      </c>
      <c r="F94">
        <v>2</v>
      </c>
      <c r="G94">
        <v>2</v>
      </c>
      <c r="H94">
        <f t="shared" si="3"/>
        <v>0</v>
      </c>
      <c r="I94" s="33">
        <v>44923</v>
      </c>
      <c r="J94" t="s">
        <v>35</v>
      </c>
      <c r="K94" s="2">
        <f t="shared" si="4"/>
        <v>0</v>
      </c>
      <c r="L94" s="2">
        <f t="shared" si="5"/>
        <v>0</v>
      </c>
    </row>
    <row r="95" spans="1:12" x14ac:dyDescent="0.25">
      <c r="A95" t="s">
        <v>9</v>
      </c>
      <c r="B95" t="s">
        <v>3</v>
      </c>
      <c r="C95" t="s">
        <v>53</v>
      </c>
      <c r="D95" s="2">
        <v>100</v>
      </c>
      <c r="E95" s="2">
        <v>200</v>
      </c>
      <c r="F95">
        <v>2</v>
      </c>
      <c r="G95">
        <v>1</v>
      </c>
      <c r="H95">
        <f t="shared" si="3"/>
        <v>1</v>
      </c>
      <c r="I95" s="33">
        <v>44923</v>
      </c>
      <c r="J95" t="s">
        <v>35</v>
      </c>
      <c r="K95" s="2">
        <f t="shared" si="4"/>
        <v>200</v>
      </c>
      <c r="L95" s="2">
        <f t="shared" si="5"/>
        <v>100</v>
      </c>
    </row>
    <row r="96" spans="1:12" x14ac:dyDescent="0.25">
      <c r="A96" t="s">
        <v>2</v>
      </c>
      <c r="B96" t="s">
        <v>12</v>
      </c>
      <c r="C96" t="s">
        <v>49</v>
      </c>
      <c r="D96" s="2">
        <v>250</v>
      </c>
      <c r="E96" s="2">
        <v>350</v>
      </c>
      <c r="F96">
        <v>3</v>
      </c>
      <c r="G96">
        <v>1</v>
      </c>
      <c r="H96">
        <f t="shared" si="3"/>
        <v>2</v>
      </c>
      <c r="I96" s="33">
        <v>44923</v>
      </c>
      <c r="J96" t="s">
        <v>35</v>
      </c>
      <c r="K96" s="2">
        <f t="shared" si="4"/>
        <v>700</v>
      </c>
      <c r="L96" s="2">
        <f t="shared" si="5"/>
        <v>200</v>
      </c>
    </row>
    <row r="97" spans="1:12" x14ac:dyDescent="0.25">
      <c r="A97" t="s">
        <v>7</v>
      </c>
      <c r="B97" t="s">
        <v>12</v>
      </c>
      <c r="C97" t="s">
        <v>54</v>
      </c>
      <c r="D97" s="2">
        <v>300</v>
      </c>
      <c r="E97" s="2">
        <v>400</v>
      </c>
      <c r="F97">
        <v>1</v>
      </c>
      <c r="G97">
        <v>1</v>
      </c>
      <c r="H97">
        <f t="shared" si="3"/>
        <v>0</v>
      </c>
      <c r="I97" s="33">
        <v>44923</v>
      </c>
      <c r="J97" t="s">
        <v>35</v>
      </c>
      <c r="K97" s="2">
        <f t="shared" si="4"/>
        <v>0</v>
      </c>
      <c r="L97" s="2">
        <f t="shared" si="5"/>
        <v>0</v>
      </c>
    </row>
    <row r="98" spans="1:12" x14ac:dyDescent="0.25">
      <c r="A98" t="s">
        <v>8</v>
      </c>
      <c r="B98" t="s">
        <v>12</v>
      </c>
      <c r="C98" t="s">
        <v>55</v>
      </c>
      <c r="D98" s="2">
        <v>250</v>
      </c>
      <c r="E98" s="2">
        <v>350</v>
      </c>
      <c r="F98">
        <v>2</v>
      </c>
      <c r="G98">
        <v>1</v>
      </c>
      <c r="H98">
        <f t="shared" si="3"/>
        <v>1</v>
      </c>
      <c r="I98" s="33">
        <v>44923</v>
      </c>
      <c r="J98" t="s">
        <v>35</v>
      </c>
      <c r="K98" s="2">
        <f t="shared" si="4"/>
        <v>350</v>
      </c>
      <c r="L98" s="2">
        <f t="shared" si="5"/>
        <v>100</v>
      </c>
    </row>
    <row r="99" spans="1:12" x14ac:dyDescent="0.25">
      <c r="A99" t="s">
        <v>9</v>
      </c>
      <c r="B99" t="s">
        <v>12</v>
      </c>
      <c r="C99" t="s">
        <v>56</v>
      </c>
      <c r="D99" s="2">
        <v>250</v>
      </c>
      <c r="E99" s="2">
        <v>350</v>
      </c>
      <c r="F99">
        <v>2</v>
      </c>
      <c r="G99">
        <v>2</v>
      </c>
      <c r="H99">
        <f t="shared" si="3"/>
        <v>0</v>
      </c>
      <c r="I99" s="33">
        <v>44923</v>
      </c>
      <c r="J99" t="s">
        <v>35</v>
      </c>
      <c r="K99" s="2">
        <f t="shared" si="4"/>
        <v>0</v>
      </c>
      <c r="L99" s="2">
        <f t="shared" si="5"/>
        <v>0</v>
      </c>
    </row>
    <row r="100" spans="1:12" x14ac:dyDescent="0.25">
      <c r="A100" t="s">
        <v>13</v>
      </c>
      <c r="B100" t="s">
        <v>12</v>
      </c>
      <c r="C100" t="s">
        <v>57</v>
      </c>
      <c r="D100" s="2">
        <v>300</v>
      </c>
      <c r="E100" s="2">
        <v>450</v>
      </c>
      <c r="F100">
        <v>4</v>
      </c>
      <c r="G100">
        <v>1</v>
      </c>
      <c r="H100">
        <f t="shared" si="3"/>
        <v>3</v>
      </c>
      <c r="I100" s="33">
        <v>44923</v>
      </c>
      <c r="J100" t="s">
        <v>35</v>
      </c>
      <c r="K100" s="2">
        <f t="shared" si="4"/>
        <v>1350</v>
      </c>
      <c r="L100" s="2">
        <f t="shared" si="5"/>
        <v>450</v>
      </c>
    </row>
    <row r="101" spans="1:12" x14ac:dyDescent="0.25">
      <c r="A101" t="s">
        <v>14</v>
      </c>
      <c r="B101" t="s">
        <v>16</v>
      </c>
      <c r="C101" t="s">
        <v>50</v>
      </c>
      <c r="D101" s="2">
        <v>320</v>
      </c>
      <c r="E101" s="2">
        <v>400</v>
      </c>
      <c r="F101">
        <v>2</v>
      </c>
      <c r="G101">
        <v>1</v>
      </c>
      <c r="H101">
        <f t="shared" si="3"/>
        <v>1</v>
      </c>
      <c r="I101" s="33">
        <v>44923</v>
      </c>
      <c r="J101" t="s">
        <v>35</v>
      </c>
      <c r="K101" s="2">
        <f t="shared" si="4"/>
        <v>400</v>
      </c>
      <c r="L101" s="2">
        <f t="shared" si="5"/>
        <v>80</v>
      </c>
    </row>
    <row r="102" spans="1:12" x14ac:dyDescent="0.25">
      <c r="A102" t="s">
        <v>15</v>
      </c>
      <c r="B102" t="s">
        <v>16</v>
      </c>
      <c r="C102" t="s">
        <v>58</v>
      </c>
      <c r="D102" s="2">
        <v>100</v>
      </c>
      <c r="E102" s="2">
        <v>150</v>
      </c>
      <c r="F102">
        <v>0</v>
      </c>
      <c r="G102">
        <v>0</v>
      </c>
      <c r="H102">
        <f t="shared" si="3"/>
        <v>0</v>
      </c>
      <c r="I102" s="33">
        <v>44923</v>
      </c>
      <c r="J102" t="s">
        <v>35</v>
      </c>
      <c r="K102" s="2">
        <f t="shared" si="4"/>
        <v>0</v>
      </c>
      <c r="L102" s="2">
        <f t="shared" si="5"/>
        <v>0</v>
      </c>
    </row>
    <row r="103" spans="1:12" x14ac:dyDescent="0.25">
      <c r="A103" t="s">
        <v>2</v>
      </c>
      <c r="B103" t="s">
        <v>21</v>
      </c>
      <c r="C103" t="s">
        <v>51</v>
      </c>
      <c r="D103" s="2">
        <v>25</v>
      </c>
      <c r="E103" s="2">
        <v>40</v>
      </c>
      <c r="F103">
        <v>1</v>
      </c>
      <c r="G103">
        <v>0</v>
      </c>
      <c r="H103">
        <f t="shared" si="3"/>
        <v>1</v>
      </c>
      <c r="I103" s="33">
        <v>44923</v>
      </c>
      <c r="J103" t="s">
        <v>35</v>
      </c>
      <c r="K103" s="2">
        <f t="shared" si="4"/>
        <v>40</v>
      </c>
      <c r="L103" s="2">
        <f t="shared" si="5"/>
        <v>15</v>
      </c>
    </row>
    <row r="104" spans="1:12" x14ac:dyDescent="0.25">
      <c r="A104" t="s">
        <v>7</v>
      </c>
      <c r="B104" t="s">
        <v>21</v>
      </c>
      <c r="C104" t="s">
        <v>59</v>
      </c>
      <c r="D104" s="2">
        <v>30</v>
      </c>
      <c r="E104" s="2">
        <v>50</v>
      </c>
      <c r="F104">
        <v>2</v>
      </c>
      <c r="G104">
        <v>0</v>
      </c>
      <c r="H104">
        <f t="shared" si="3"/>
        <v>2</v>
      </c>
      <c r="I104" s="33">
        <v>44923</v>
      </c>
      <c r="J104" t="s">
        <v>35</v>
      </c>
      <c r="K104" s="2">
        <f t="shared" si="4"/>
        <v>100</v>
      </c>
      <c r="L104" s="2">
        <f t="shared" si="5"/>
        <v>40</v>
      </c>
    </row>
    <row r="105" spans="1:12" x14ac:dyDescent="0.25">
      <c r="A105" t="s">
        <v>9</v>
      </c>
      <c r="B105" t="s">
        <v>21</v>
      </c>
      <c r="C105" t="s">
        <v>60</v>
      </c>
      <c r="D105" s="2">
        <v>25</v>
      </c>
      <c r="E105" s="2">
        <v>40</v>
      </c>
      <c r="F105">
        <v>5</v>
      </c>
      <c r="G105">
        <v>0</v>
      </c>
      <c r="H105">
        <f t="shared" si="3"/>
        <v>5</v>
      </c>
      <c r="I105" s="33">
        <v>44923</v>
      </c>
      <c r="J105" t="s">
        <v>35</v>
      </c>
      <c r="K105" s="2">
        <f t="shared" si="4"/>
        <v>200</v>
      </c>
      <c r="L105" s="2">
        <f t="shared" si="5"/>
        <v>75</v>
      </c>
    </row>
    <row r="106" spans="1:12" x14ac:dyDescent="0.25">
      <c r="A106" t="s">
        <v>23</v>
      </c>
      <c r="B106" t="s">
        <v>21</v>
      </c>
      <c r="C106" t="s">
        <v>61</v>
      </c>
      <c r="D106" s="2">
        <v>25</v>
      </c>
      <c r="E106" s="2">
        <v>40</v>
      </c>
      <c r="F106">
        <v>9</v>
      </c>
      <c r="G106">
        <v>2</v>
      </c>
      <c r="H106">
        <f t="shared" si="3"/>
        <v>7</v>
      </c>
      <c r="I106" s="33">
        <v>44923</v>
      </c>
      <c r="J106" t="s">
        <v>35</v>
      </c>
      <c r="K106" s="2">
        <f t="shared" si="4"/>
        <v>280</v>
      </c>
      <c r="L106" s="2">
        <f t="shared" si="5"/>
        <v>105</v>
      </c>
    </row>
    <row r="107" spans="1:12" x14ac:dyDescent="0.25">
      <c r="A107" t="s">
        <v>13</v>
      </c>
      <c r="B107" t="s">
        <v>21</v>
      </c>
      <c r="C107" t="s">
        <v>62</v>
      </c>
      <c r="D107" s="2">
        <v>30</v>
      </c>
      <c r="E107" s="2">
        <v>55</v>
      </c>
      <c r="F107">
        <v>3</v>
      </c>
      <c r="G107">
        <v>0</v>
      </c>
      <c r="H107">
        <f t="shared" si="3"/>
        <v>3</v>
      </c>
      <c r="I107" s="33">
        <v>44923</v>
      </c>
      <c r="J107" t="s">
        <v>35</v>
      </c>
      <c r="K107" s="2">
        <f t="shared" si="4"/>
        <v>165</v>
      </c>
      <c r="L107" s="2">
        <f t="shared" si="5"/>
        <v>75</v>
      </c>
    </row>
    <row r="108" spans="1:12" x14ac:dyDescent="0.25">
      <c r="A108" t="s">
        <v>17</v>
      </c>
      <c r="B108" t="s">
        <v>21</v>
      </c>
      <c r="C108" t="s">
        <v>63</v>
      </c>
      <c r="D108" s="2">
        <v>40</v>
      </c>
      <c r="E108" s="2">
        <v>65</v>
      </c>
      <c r="F108">
        <v>0</v>
      </c>
      <c r="G108">
        <v>0</v>
      </c>
      <c r="H108">
        <f t="shared" si="3"/>
        <v>0</v>
      </c>
      <c r="I108" s="33">
        <v>44923</v>
      </c>
      <c r="J108" t="s">
        <v>35</v>
      </c>
      <c r="K108" s="2">
        <f t="shared" si="4"/>
        <v>0</v>
      </c>
      <c r="L108" s="2">
        <f t="shared" si="5"/>
        <v>0</v>
      </c>
    </row>
    <row r="109" spans="1:12" x14ac:dyDescent="0.25">
      <c r="A109" t="s">
        <v>34</v>
      </c>
      <c r="B109" t="s">
        <v>21</v>
      </c>
      <c r="C109" t="s">
        <v>64</v>
      </c>
      <c r="D109" s="2">
        <v>50</v>
      </c>
      <c r="E109" s="2">
        <v>70</v>
      </c>
      <c r="F109">
        <v>3</v>
      </c>
      <c r="G109">
        <v>3</v>
      </c>
      <c r="H109">
        <f t="shared" si="3"/>
        <v>0</v>
      </c>
      <c r="I109" s="33">
        <v>44923</v>
      </c>
      <c r="J109" t="s">
        <v>35</v>
      </c>
      <c r="K109" s="2">
        <f t="shared" si="4"/>
        <v>0</v>
      </c>
      <c r="L109" s="2">
        <f t="shared" si="5"/>
        <v>0</v>
      </c>
    </row>
    <row r="110" spans="1:12" x14ac:dyDescent="0.25">
      <c r="A110" t="s">
        <v>18</v>
      </c>
      <c r="B110" t="s">
        <v>21</v>
      </c>
      <c r="C110" t="s">
        <v>65</v>
      </c>
      <c r="D110" s="2">
        <v>20</v>
      </c>
      <c r="E110" s="2">
        <v>30</v>
      </c>
      <c r="F110">
        <v>19</v>
      </c>
      <c r="G110">
        <v>16</v>
      </c>
      <c r="H110">
        <f t="shared" si="3"/>
        <v>3</v>
      </c>
      <c r="I110" s="33">
        <v>44923</v>
      </c>
      <c r="J110" t="s">
        <v>35</v>
      </c>
      <c r="K110" s="2">
        <f t="shared" si="4"/>
        <v>90</v>
      </c>
      <c r="L110" s="2">
        <f t="shared" si="5"/>
        <v>30</v>
      </c>
    </row>
    <row r="111" spans="1:12" x14ac:dyDescent="0.25">
      <c r="A111" t="s">
        <v>19</v>
      </c>
      <c r="B111" t="s">
        <v>21</v>
      </c>
      <c r="C111" t="s">
        <v>66</v>
      </c>
      <c r="D111" s="2">
        <v>10</v>
      </c>
      <c r="E111" s="2">
        <v>20</v>
      </c>
      <c r="F111">
        <v>6</v>
      </c>
      <c r="G111">
        <v>6</v>
      </c>
      <c r="H111">
        <f t="shared" si="3"/>
        <v>0</v>
      </c>
      <c r="I111" s="33">
        <v>44923</v>
      </c>
      <c r="J111" t="s">
        <v>35</v>
      </c>
      <c r="K111" s="2">
        <f t="shared" si="4"/>
        <v>0</v>
      </c>
      <c r="L111" s="2">
        <f t="shared" si="5"/>
        <v>0</v>
      </c>
    </row>
    <row r="112" spans="1:12" x14ac:dyDescent="0.25">
      <c r="A112" t="s">
        <v>20</v>
      </c>
      <c r="B112" t="s">
        <v>21</v>
      </c>
      <c r="C112" t="s">
        <v>67</v>
      </c>
      <c r="D112" s="2">
        <v>60</v>
      </c>
      <c r="E112" s="2">
        <v>100</v>
      </c>
      <c r="F112">
        <v>5</v>
      </c>
      <c r="G112">
        <v>5</v>
      </c>
      <c r="H112">
        <f t="shared" si="3"/>
        <v>0</v>
      </c>
      <c r="I112" s="33">
        <v>44923</v>
      </c>
      <c r="J112" t="s">
        <v>35</v>
      </c>
      <c r="K112" s="2">
        <f t="shared" si="4"/>
        <v>0</v>
      </c>
      <c r="L112" s="2">
        <f t="shared" si="5"/>
        <v>0</v>
      </c>
    </row>
    <row r="113" spans="1:12" x14ac:dyDescent="0.25">
      <c r="A113" t="s">
        <v>22</v>
      </c>
      <c r="B113" t="s">
        <v>24</v>
      </c>
      <c r="C113" t="s">
        <v>68</v>
      </c>
      <c r="D113" s="2">
        <v>50</v>
      </c>
      <c r="E113" s="2">
        <v>70</v>
      </c>
      <c r="F113">
        <v>5</v>
      </c>
      <c r="G113">
        <v>5</v>
      </c>
      <c r="H113">
        <f t="shared" si="3"/>
        <v>0</v>
      </c>
      <c r="I113" s="33">
        <v>44923</v>
      </c>
      <c r="J113" t="s">
        <v>35</v>
      </c>
      <c r="K113" s="2">
        <f t="shared" si="4"/>
        <v>0</v>
      </c>
      <c r="L113" s="2">
        <f t="shared" si="5"/>
        <v>0</v>
      </c>
    </row>
    <row r="114" spans="1:12" x14ac:dyDescent="0.25">
      <c r="A114" t="s">
        <v>25</v>
      </c>
      <c r="B114" t="s">
        <v>24</v>
      </c>
      <c r="C114" t="s">
        <v>69</v>
      </c>
      <c r="D114" s="2">
        <v>45</v>
      </c>
      <c r="E114" s="2">
        <v>65</v>
      </c>
      <c r="F114">
        <v>4</v>
      </c>
      <c r="G114">
        <v>4</v>
      </c>
      <c r="H114">
        <f t="shared" si="3"/>
        <v>0</v>
      </c>
      <c r="I114" s="33">
        <v>44923</v>
      </c>
      <c r="J114" t="s">
        <v>35</v>
      </c>
      <c r="K114" s="2">
        <f t="shared" si="4"/>
        <v>0</v>
      </c>
      <c r="L114" s="2">
        <f t="shared" si="5"/>
        <v>0</v>
      </c>
    </row>
    <row r="115" spans="1:12" x14ac:dyDescent="0.25">
      <c r="A115" t="s">
        <v>26</v>
      </c>
      <c r="B115" t="s">
        <v>24</v>
      </c>
      <c r="C115" t="s">
        <v>70</v>
      </c>
      <c r="D115" s="2">
        <v>50</v>
      </c>
      <c r="E115" s="2">
        <v>70</v>
      </c>
      <c r="F115">
        <v>3</v>
      </c>
      <c r="G115">
        <v>3</v>
      </c>
      <c r="H115">
        <f t="shared" si="3"/>
        <v>0</v>
      </c>
      <c r="I115" s="33">
        <v>44923</v>
      </c>
      <c r="J115" t="s">
        <v>35</v>
      </c>
      <c r="K115" s="2">
        <f t="shared" si="4"/>
        <v>0</v>
      </c>
      <c r="L115" s="2">
        <f t="shared" si="5"/>
        <v>0</v>
      </c>
    </row>
    <row r="116" spans="1:12" x14ac:dyDescent="0.25">
      <c r="A116" t="s">
        <v>27</v>
      </c>
      <c r="B116" t="s">
        <v>24</v>
      </c>
      <c r="C116" t="s">
        <v>71</v>
      </c>
      <c r="D116" s="2">
        <v>10</v>
      </c>
      <c r="E116" s="2">
        <v>15</v>
      </c>
      <c r="F116">
        <v>6</v>
      </c>
      <c r="G116">
        <v>4</v>
      </c>
      <c r="H116">
        <f t="shared" si="3"/>
        <v>2</v>
      </c>
      <c r="I116" s="33">
        <v>44923</v>
      </c>
      <c r="J116" t="s">
        <v>35</v>
      </c>
      <c r="K116" s="2">
        <f t="shared" si="4"/>
        <v>30</v>
      </c>
      <c r="L116" s="2">
        <f t="shared" si="5"/>
        <v>10</v>
      </c>
    </row>
    <row r="117" spans="1:12" x14ac:dyDescent="0.25">
      <c r="A117" t="s">
        <v>28</v>
      </c>
      <c r="B117" t="s">
        <v>24</v>
      </c>
      <c r="C117" t="s">
        <v>72</v>
      </c>
      <c r="D117" s="2">
        <v>20</v>
      </c>
      <c r="E117" s="2">
        <v>25</v>
      </c>
      <c r="F117">
        <v>6</v>
      </c>
      <c r="G117">
        <v>4</v>
      </c>
      <c r="H117">
        <f t="shared" si="3"/>
        <v>2</v>
      </c>
      <c r="I117" s="33">
        <v>44923</v>
      </c>
      <c r="J117" t="s">
        <v>35</v>
      </c>
      <c r="K117" s="2">
        <f t="shared" si="4"/>
        <v>50</v>
      </c>
      <c r="L117" s="2">
        <f t="shared" si="5"/>
        <v>10</v>
      </c>
    </row>
    <row r="118" spans="1:12" x14ac:dyDescent="0.25">
      <c r="A118" t="s">
        <v>29</v>
      </c>
      <c r="B118" t="s">
        <v>30</v>
      </c>
      <c r="C118" t="s">
        <v>73</v>
      </c>
      <c r="D118" s="2">
        <v>25</v>
      </c>
      <c r="E118" s="2">
        <v>30</v>
      </c>
      <c r="F118">
        <v>10</v>
      </c>
      <c r="G118">
        <v>10</v>
      </c>
      <c r="H118">
        <f t="shared" si="3"/>
        <v>0</v>
      </c>
      <c r="I118" s="33">
        <v>44923</v>
      </c>
      <c r="J118" t="s">
        <v>35</v>
      </c>
      <c r="K118" s="2">
        <f t="shared" si="4"/>
        <v>0</v>
      </c>
      <c r="L118" s="2">
        <f t="shared" si="5"/>
        <v>0</v>
      </c>
    </row>
    <row r="119" spans="1:12" x14ac:dyDescent="0.25">
      <c r="A119" t="s">
        <v>31</v>
      </c>
      <c r="B119" t="s">
        <v>30</v>
      </c>
      <c r="C119" t="s">
        <v>74</v>
      </c>
      <c r="D119" s="2">
        <v>25</v>
      </c>
      <c r="E119" s="2">
        <v>30</v>
      </c>
      <c r="F119">
        <v>10</v>
      </c>
      <c r="G119">
        <v>8</v>
      </c>
      <c r="H119">
        <f t="shared" si="3"/>
        <v>2</v>
      </c>
      <c r="I119" s="33">
        <v>44923</v>
      </c>
      <c r="J119" t="s">
        <v>35</v>
      </c>
      <c r="K119" s="2">
        <f t="shared" si="4"/>
        <v>60</v>
      </c>
      <c r="L119" s="2">
        <f t="shared" si="5"/>
        <v>10</v>
      </c>
    </row>
    <row r="120" spans="1:12" x14ac:dyDescent="0.25">
      <c r="A120" t="s">
        <v>32</v>
      </c>
      <c r="B120" t="s">
        <v>30</v>
      </c>
      <c r="C120" t="s">
        <v>75</v>
      </c>
      <c r="D120" s="2">
        <v>25</v>
      </c>
      <c r="E120" s="2">
        <v>30</v>
      </c>
      <c r="F120">
        <v>5</v>
      </c>
      <c r="G120">
        <v>3</v>
      </c>
      <c r="H120">
        <f t="shared" si="3"/>
        <v>2</v>
      </c>
      <c r="I120" s="33">
        <v>44923</v>
      </c>
      <c r="J120" t="s">
        <v>35</v>
      </c>
      <c r="K120" s="2">
        <f t="shared" si="4"/>
        <v>60</v>
      </c>
      <c r="L120" s="2">
        <f t="shared" si="5"/>
        <v>10</v>
      </c>
    </row>
    <row r="121" spans="1:12" x14ac:dyDescent="0.25">
      <c r="A121" t="s">
        <v>33</v>
      </c>
      <c r="B121" t="s">
        <v>30</v>
      </c>
      <c r="C121" t="s">
        <v>76</v>
      </c>
      <c r="D121" s="2">
        <v>30</v>
      </c>
      <c r="E121" s="2">
        <v>35</v>
      </c>
      <c r="F121">
        <v>5</v>
      </c>
      <c r="G121">
        <v>3</v>
      </c>
      <c r="H121">
        <f t="shared" si="3"/>
        <v>2</v>
      </c>
      <c r="I121" s="33">
        <v>44923</v>
      </c>
      <c r="J121" t="s">
        <v>35</v>
      </c>
      <c r="K121" s="2">
        <f t="shared" si="4"/>
        <v>70</v>
      </c>
      <c r="L121" s="2">
        <f t="shared" si="5"/>
        <v>10</v>
      </c>
    </row>
    <row r="122" spans="1:12" x14ac:dyDescent="0.25">
      <c r="A122" t="s">
        <v>2</v>
      </c>
      <c r="B122" t="s">
        <v>3</v>
      </c>
      <c r="C122" t="s">
        <v>48</v>
      </c>
      <c r="D122" s="2">
        <v>100</v>
      </c>
      <c r="E122" s="2">
        <v>200</v>
      </c>
      <c r="F122">
        <v>2</v>
      </c>
      <c r="G122">
        <v>2</v>
      </c>
      <c r="H122">
        <f t="shared" si="3"/>
        <v>0</v>
      </c>
      <c r="I122" s="33">
        <v>44924</v>
      </c>
      <c r="J122" t="s">
        <v>36</v>
      </c>
      <c r="K122" s="2">
        <f t="shared" si="4"/>
        <v>0</v>
      </c>
      <c r="L122" s="2">
        <f t="shared" si="5"/>
        <v>0</v>
      </c>
    </row>
    <row r="123" spans="1:12" x14ac:dyDescent="0.25">
      <c r="A123" t="s">
        <v>7</v>
      </c>
      <c r="B123" t="s">
        <v>3</v>
      </c>
      <c r="C123" t="s">
        <v>77</v>
      </c>
      <c r="D123" s="2">
        <v>200</v>
      </c>
      <c r="E123" s="2">
        <v>300</v>
      </c>
      <c r="F123">
        <v>2</v>
      </c>
      <c r="G123">
        <v>2</v>
      </c>
      <c r="H123">
        <f t="shared" si="3"/>
        <v>0</v>
      </c>
      <c r="I123" s="33">
        <v>44924</v>
      </c>
      <c r="J123" t="s">
        <v>36</v>
      </c>
      <c r="K123" s="2">
        <f t="shared" si="4"/>
        <v>0</v>
      </c>
      <c r="L123" s="2">
        <f t="shared" si="5"/>
        <v>0</v>
      </c>
    </row>
    <row r="124" spans="1:12" x14ac:dyDescent="0.25">
      <c r="A124" t="s">
        <v>23</v>
      </c>
      <c r="B124" t="s">
        <v>3</v>
      </c>
      <c r="C124" t="s">
        <v>52</v>
      </c>
      <c r="D124" s="2">
        <v>150</v>
      </c>
      <c r="E124" s="2">
        <v>250</v>
      </c>
      <c r="F124">
        <v>2</v>
      </c>
      <c r="G124">
        <v>0</v>
      </c>
      <c r="H124">
        <f t="shared" si="3"/>
        <v>2</v>
      </c>
      <c r="I124" s="33">
        <v>44924</v>
      </c>
      <c r="J124" t="s">
        <v>36</v>
      </c>
      <c r="K124" s="2">
        <f t="shared" si="4"/>
        <v>500</v>
      </c>
      <c r="L124" s="2">
        <f t="shared" si="5"/>
        <v>200</v>
      </c>
    </row>
    <row r="125" spans="1:12" x14ac:dyDescent="0.25">
      <c r="A125" t="s">
        <v>9</v>
      </c>
      <c r="B125" t="s">
        <v>3</v>
      </c>
      <c r="C125" t="s">
        <v>53</v>
      </c>
      <c r="D125" s="2">
        <v>100</v>
      </c>
      <c r="E125" s="2">
        <v>200</v>
      </c>
      <c r="F125">
        <v>1</v>
      </c>
      <c r="G125">
        <v>1</v>
      </c>
      <c r="H125">
        <f t="shared" si="3"/>
        <v>0</v>
      </c>
      <c r="I125" s="33">
        <v>44924</v>
      </c>
      <c r="J125" t="s">
        <v>36</v>
      </c>
      <c r="K125" s="2">
        <f t="shared" si="4"/>
        <v>0</v>
      </c>
      <c r="L125" s="2">
        <f t="shared" si="5"/>
        <v>0</v>
      </c>
    </row>
    <row r="126" spans="1:12" x14ac:dyDescent="0.25">
      <c r="A126" t="s">
        <v>2</v>
      </c>
      <c r="B126" t="s">
        <v>12</v>
      </c>
      <c r="C126" t="s">
        <v>49</v>
      </c>
      <c r="D126" s="2">
        <v>250</v>
      </c>
      <c r="E126" s="2">
        <v>350</v>
      </c>
      <c r="F126">
        <v>3</v>
      </c>
      <c r="G126">
        <v>3</v>
      </c>
      <c r="H126">
        <f t="shared" si="3"/>
        <v>0</v>
      </c>
      <c r="I126" s="33">
        <v>44924</v>
      </c>
      <c r="J126" t="s">
        <v>36</v>
      </c>
      <c r="K126" s="2">
        <f t="shared" si="4"/>
        <v>0</v>
      </c>
      <c r="L126" s="2">
        <f t="shared" si="5"/>
        <v>0</v>
      </c>
    </row>
    <row r="127" spans="1:12" x14ac:dyDescent="0.25">
      <c r="A127" t="s">
        <v>7</v>
      </c>
      <c r="B127" t="s">
        <v>12</v>
      </c>
      <c r="C127" t="s">
        <v>54</v>
      </c>
      <c r="D127" s="2">
        <v>300</v>
      </c>
      <c r="E127" s="2">
        <v>400</v>
      </c>
      <c r="F127">
        <v>1</v>
      </c>
      <c r="G127">
        <v>0</v>
      </c>
      <c r="H127">
        <f t="shared" si="3"/>
        <v>1</v>
      </c>
      <c r="I127" s="33">
        <v>44924</v>
      </c>
      <c r="J127" t="s">
        <v>36</v>
      </c>
      <c r="K127" s="2">
        <f t="shared" si="4"/>
        <v>400</v>
      </c>
      <c r="L127" s="2">
        <f t="shared" si="5"/>
        <v>100</v>
      </c>
    </row>
    <row r="128" spans="1:12" x14ac:dyDescent="0.25">
      <c r="A128" t="s">
        <v>8</v>
      </c>
      <c r="B128" t="s">
        <v>12</v>
      </c>
      <c r="C128" t="s">
        <v>55</v>
      </c>
      <c r="D128" s="2">
        <v>250</v>
      </c>
      <c r="E128" s="2">
        <v>350</v>
      </c>
      <c r="F128">
        <v>1</v>
      </c>
      <c r="G128">
        <v>1</v>
      </c>
      <c r="H128">
        <f t="shared" si="3"/>
        <v>0</v>
      </c>
      <c r="I128" s="33">
        <v>44924</v>
      </c>
      <c r="J128" t="s">
        <v>36</v>
      </c>
      <c r="K128" s="2">
        <f t="shared" si="4"/>
        <v>0</v>
      </c>
      <c r="L128" s="2">
        <f t="shared" si="5"/>
        <v>0</v>
      </c>
    </row>
    <row r="129" spans="1:12" x14ac:dyDescent="0.25">
      <c r="A129" t="s">
        <v>9</v>
      </c>
      <c r="B129" t="s">
        <v>12</v>
      </c>
      <c r="C129" t="s">
        <v>56</v>
      </c>
      <c r="D129" s="2">
        <v>250</v>
      </c>
      <c r="E129" s="2">
        <v>350</v>
      </c>
      <c r="F129">
        <v>3</v>
      </c>
      <c r="G129">
        <v>1</v>
      </c>
      <c r="H129">
        <f t="shared" si="3"/>
        <v>2</v>
      </c>
      <c r="I129" s="33">
        <v>44924</v>
      </c>
      <c r="J129" t="s">
        <v>36</v>
      </c>
      <c r="K129" s="2">
        <f t="shared" si="4"/>
        <v>700</v>
      </c>
      <c r="L129" s="2">
        <f t="shared" si="5"/>
        <v>200</v>
      </c>
    </row>
    <row r="130" spans="1:12" x14ac:dyDescent="0.25">
      <c r="A130" t="s">
        <v>13</v>
      </c>
      <c r="B130" t="s">
        <v>12</v>
      </c>
      <c r="C130" t="s">
        <v>57</v>
      </c>
      <c r="D130" s="2">
        <v>300</v>
      </c>
      <c r="E130" s="2">
        <v>450</v>
      </c>
      <c r="F130">
        <v>1</v>
      </c>
      <c r="G130">
        <v>1</v>
      </c>
      <c r="H130">
        <f t="shared" ref="H130:H193" si="6">F130-G130</f>
        <v>0</v>
      </c>
      <c r="I130" s="33">
        <v>44924</v>
      </c>
      <c r="J130" t="s">
        <v>36</v>
      </c>
      <c r="K130" s="2">
        <f t="shared" ref="K130:K193" si="7">E130*H130</f>
        <v>0</v>
      </c>
      <c r="L130" s="2">
        <f t="shared" ref="L130:L193" si="8">(E130-D130)*H130</f>
        <v>0</v>
      </c>
    </row>
    <row r="131" spans="1:12" x14ac:dyDescent="0.25">
      <c r="A131" t="s">
        <v>14</v>
      </c>
      <c r="B131" t="s">
        <v>16</v>
      </c>
      <c r="C131" t="s">
        <v>50</v>
      </c>
      <c r="D131" s="2">
        <v>320</v>
      </c>
      <c r="E131" s="2">
        <v>400</v>
      </c>
      <c r="F131">
        <v>1</v>
      </c>
      <c r="G131">
        <v>1</v>
      </c>
      <c r="H131">
        <f t="shared" si="6"/>
        <v>0</v>
      </c>
      <c r="I131" s="33">
        <v>44924</v>
      </c>
      <c r="J131" t="s">
        <v>36</v>
      </c>
      <c r="K131" s="2">
        <f t="shared" si="7"/>
        <v>0</v>
      </c>
      <c r="L131" s="2">
        <f t="shared" si="8"/>
        <v>0</v>
      </c>
    </row>
    <row r="132" spans="1:12" x14ac:dyDescent="0.25">
      <c r="A132" t="s">
        <v>15</v>
      </c>
      <c r="B132" t="s">
        <v>16</v>
      </c>
      <c r="C132" t="s">
        <v>58</v>
      </c>
      <c r="D132" s="2">
        <v>100</v>
      </c>
      <c r="E132" s="2">
        <v>150</v>
      </c>
      <c r="F132">
        <v>0</v>
      </c>
      <c r="G132">
        <v>0</v>
      </c>
      <c r="H132">
        <f t="shared" si="6"/>
        <v>0</v>
      </c>
      <c r="I132" s="33">
        <v>44924</v>
      </c>
      <c r="J132" t="s">
        <v>36</v>
      </c>
      <c r="K132" s="2">
        <f t="shared" si="7"/>
        <v>0</v>
      </c>
      <c r="L132" s="2">
        <f t="shared" si="8"/>
        <v>0</v>
      </c>
    </row>
    <row r="133" spans="1:12" x14ac:dyDescent="0.25">
      <c r="A133" t="s">
        <v>2</v>
      </c>
      <c r="B133" t="s">
        <v>21</v>
      </c>
      <c r="C133" t="s">
        <v>51</v>
      </c>
      <c r="D133" s="2">
        <v>25</v>
      </c>
      <c r="E133" s="2">
        <v>40</v>
      </c>
      <c r="F133">
        <v>18</v>
      </c>
      <c r="G133">
        <v>5</v>
      </c>
      <c r="H133">
        <f t="shared" si="6"/>
        <v>13</v>
      </c>
      <c r="I133" s="33">
        <v>44924</v>
      </c>
      <c r="J133" t="s">
        <v>36</v>
      </c>
      <c r="K133" s="2">
        <f t="shared" si="7"/>
        <v>520</v>
      </c>
      <c r="L133" s="2">
        <f t="shared" si="8"/>
        <v>195</v>
      </c>
    </row>
    <row r="134" spans="1:12" x14ac:dyDescent="0.25">
      <c r="A134" t="s">
        <v>7</v>
      </c>
      <c r="B134" t="s">
        <v>21</v>
      </c>
      <c r="C134" t="s">
        <v>59</v>
      </c>
      <c r="D134" s="2">
        <v>30</v>
      </c>
      <c r="E134" s="2">
        <v>50</v>
      </c>
      <c r="F134">
        <v>7</v>
      </c>
      <c r="G134">
        <v>5</v>
      </c>
      <c r="H134">
        <f t="shared" si="6"/>
        <v>2</v>
      </c>
      <c r="I134" s="33">
        <v>44924</v>
      </c>
      <c r="J134" t="s">
        <v>36</v>
      </c>
      <c r="K134" s="2">
        <f t="shared" si="7"/>
        <v>100</v>
      </c>
      <c r="L134" s="2">
        <f t="shared" si="8"/>
        <v>40</v>
      </c>
    </row>
    <row r="135" spans="1:12" x14ac:dyDescent="0.25">
      <c r="A135" t="s">
        <v>9</v>
      </c>
      <c r="B135" t="s">
        <v>21</v>
      </c>
      <c r="C135" t="s">
        <v>60</v>
      </c>
      <c r="D135" s="2">
        <v>25</v>
      </c>
      <c r="E135" s="2">
        <v>40</v>
      </c>
      <c r="F135">
        <v>0</v>
      </c>
      <c r="G135">
        <v>0</v>
      </c>
      <c r="H135">
        <f t="shared" si="6"/>
        <v>0</v>
      </c>
      <c r="I135" s="33">
        <v>44924</v>
      </c>
      <c r="J135" t="s">
        <v>36</v>
      </c>
      <c r="K135" s="2">
        <f t="shared" si="7"/>
        <v>0</v>
      </c>
      <c r="L135" s="2">
        <f t="shared" si="8"/>
        <v>0</v>
      </c>
    </row>
    <row r="136" spans="1:12" x14ac:dyDescent="0.25">
      <c r="A136" t="s">
        <v>23</v>
      </c>
      <c r="B136" t="s">
        <v>21</v>
      </c>
      <c r="C136" t="s">
        <v>61</v>
      </c>
      <c r="D136" s="2">
        <v>25</v>
      </c>
      <c r="E136" s="2">
        <v>40</v>
      </c>
      <c r="F136">
        <v>2</v>
      </c>
      <c r="G136">
        <v>0</v>
      </c>
      <c r="H136">
        <f t="shared" si="6"/>
        <v>2</v>
      </c>
      <c r="I136" s="33">
        <v>44924</v>
      </c>
      <c r="J136" t="s">
        <v>36</v>
      </c>
      <c r="K136" s="2">
        <f t="shared" si="7"/>
        <v>80</v>
      </c>
      <c r="L136" s="2">
        <f t="shared" si="8"/>
        <v>30</v>
      </c>
    </row>
    <row r="137" spans="1:12" x14ac:dyDescent="0.25">
      <c r="A137" t="s">
        <v>13</v>
      </c>
      <c r="B137" t="s">
        <v>21</v>
      </c>
      <c r="C137" t="s">
        <v>62</v>
      </c>
      <c r="D137" s="2">
        <v>30</v>
      </c>
      <c r="E137" s="2">
        <v>55</v>
      </c>
      <c r="F137">
        <v>7</v>
      </c>
      <c r="G137">
        <v>6</v>
      </c>
      <c r="H137">
        <f t="shared" si="6"/>
        <v>1</v>
      </c>
      <c r="I137" s="33">
        <v>44924</v>
      </c>
      <c r="J137" t="s">
        <v>36</v>
      </c>
      <c r="K137" s="2">
        <f t="shared" si="7"/>
        <v>55</v>
      </c>
      <c r="L137" s="2">
        <f t="shared" si="8"/>
        <v>25</v>
      </c>
    </row>
    <row r="138" spans="1:12" x14ac:dyDescent="0.25">
      <c r="A138" t="s">
        <v>17</v>
      </c>
      <c r="B138" t="s">
        <v>21</v>
      </c>
      <c r="C138" t="s">
        <v>63</v>
      </c>
      <c r="D138" s="2">
        <v>40</v>
      </c>
      <c r="E138" s="2">
        <v>65</v>
      </c>
      <c r="F138">
        <v>0</v>
      </c>
      <c r="G138">
        <v>0</v>
      </c>
      <c r="H138">
        <f t="shared" si="6"/>
        <v>0</v>
      </c>
      <c r="I138" s="33">
        <v>44924</v>
      </c>
      <c r="J138" t="s">
        <v>36</v>
      </c>
      <c r="K138" s="2">
        <f t="shared" si="7"/>
        <v>0</v>
      </c>
      <c r="L138" s="2">
        <f t="shared" si="8"/>
        <v>0</v>
      </c>
    </row>
    <row r="139" spans="1:12" x14ac:dyDescent="0.25">
      <c r="A139" t="s">
        <v>34</v>
      </c>
      <c r="B139" t="s">
        <v>21</v>
      </c>
      <c r="C139" t="s">
        <v>64</v>
      </c>
      <c r="D139" s="2">
        <v>50</v>
      </c>
      <c r="E139" s="2">
        <v>70</v>
      </c>
      <c r="F139">
        <v>3</v>
      </c>
      <c r="G139">
        <v>3</v>
      </c>
      <c r="H139">
        <f t="shared" si="6"/>
        <v>0</v>
      </c>
      <c r="I139" s="33">
        <v>44924</v>
      </c>
      <c r="J139" t="s">
        <v>36</v>
      </c>
      <c r="K139" s="2">
        <f t="shared" si="7"/>
        <v>0</v>
      </c>
      <c r="L139" s="2">
        <f t="shared" si="8"/>
        <v>0</v>
      </c>
    </row>
    <row r="140" spans="1:12" x14ac:dyDescent="0.25">
      <c r="A140" t="s">
        <v>18</v>
      </c>
      <c r="B140" t="s">
        <v>21</v>
      </c>
      <c r="C140" t="s">
        <v>65</v>
      </c>
      <c r="D140" s="2">
        <v>20</v>
      </c>
      <c r="E140" s="2">
        <v>30</v>
      </c>
      <c r="F140">
        <v>16</v>
      </c>
      <c r="G140">
        <v>12</v>
      </c>
      <c r="H140">
        <f t="shared" si="6"/>
        <v>4</v>
      </c>
      <c r="I140" s="33">
        <v>44924</v>
      </c>
      <c r="J140" t="s">
        <v>36</v>
      </c>
      <c r="K140" s="2">
        <f t="shared" si="7"/>
        <v>120</v>
      </c>
      <c r="L140" s="2">
        <f t="shared" si="8"/>
        <v>40</v>
      </c>
    </row>
    <row r="141" spans="1:12" x14ac:dyDescent="0.25">
      <c r="A141" t="s">
        <v>19</v>
      </c>
      <c r="B141" t="s">
        <v>21</v>
      </c>
      <c r="C141" t="s">
        <v>66</v>
      </c>
      <c r="D141" s="2">
        <v>10</v>
      </c>
      <c r="E141" s="2">
        <v>20</v>
      </c>
      <c r="F141">
        <v>6</v>
      </c>
      <c r="G141">
        <v>6</v>
      </c>
      <c r="H141">
        <f t="shared" si="6"/>
        <v>0</v>
      </c>
      <c r="I141" s="33">
        <v>44924</v>
      </c>
      <c r="J141" t="s">
        <v>36</v>
      </c>
      <c r="K141" s="2">
        <f t="shared" si="7"/>
        <v>0</v>
      </c>
      <c r="L141" s="2">
        <f t="shared" si="8"/>
        <v>0</v>
      </c>
    </row>
    <row r="142" spans="1:12" x14ac:dyDescent="0.25">
      <c r="A142" t="s">
        <v>20</v>
      </c>
      <c r="B142" t="s">
        <v>21</v>
      </c>
      <c r="C142" t="s">
        <v>67</v>
      </c>
      <c r="D142" s="2">
        <v>60</v>
      </c>
      <c r="E142" s="2">
        <v>100</v>
      </c>
      <c r="F142">
        <v>5</v>
      </c>
      <c r="G142">
        <v>5</v>
      </c>
      <c r="H142">
        <f t="shared" si="6"/>
        <v>0</v>
      </c>
      <c r="I142" s="33">
        <v>44924</v>
      </c>
      <c r="J142" t="s">
        <v>36</v>
      </c>
      <c r="K142" s="2">
        <f t="shared" si="7"/>
        <v>0</v>
      </c>
      <c r="L142" s="2">
        <f t="shared" si="8"/>
        <v>0</v>
      </c>
    </row>
    <row r="143" spans="1:12" x14ac:dyDescent="0.25">
      <c r="A143" t="s">
        <v>22</v>
      </c>
      <c r="B143" t="s">
        <v>24</v>
      </c>
      <c r="C143" t="s">
        <v>68</v>
      </c>
      <c r="D143" s="2">
        <v>50</v>
      </c>
      <c r="E143" s="2">
        <v>70</v>
      </c>
      <c r="F143">
        <v>5</v>
      </c>
      <c r="G143">
        <v>5</v>
      </c>
      <c r="H143">
        <f t="shared" si="6"/>
        <v>0</v>
      </c>
      <c r="I143" s="33">
        <v>44924</v>
      </c>
      <c r="J143" t="s">
        <v>36</v>
      </c>
      <c r="K143" s="2">
        <f t="shared" si="7"/>
        <v>0</v>
      </c>
      <c r="L143" s="2">
        <f t="shared" si="8"/>
        <v>0</v>
      </c>
    </row>
    <row r="144" spans="1:12" x14ac:dyDescent="0.25">
      <c r="A144" t="s">
        <v>25</v>
      </c>
      <c r="B144" t="s">
        <v>24</v>
      </c>
      <c r="C144" t="s">
        <v>69</v>
      </c>
      <c r="D144" s="2">
        <v>45</v>
      </c>
      <c r="E144" s="2">
        <v>65</v>
      </c>
      <c r="F144">
        <v>4</v>
      </c>
      <c r="G144">
        <v>4</v>
      </c>
      <c r="H144">
        <f t="shared" si="6"/>
        <v>0</v>
      </c>
      <c r="I144" s="33">
        <v>44924</v>
      </c>
      <c r="J144" t="s">
        <v>36</v>
      </c>
      <c r="K144" s="2">
        <f t="shared" si="7"/>
        <v>0</v>
      </c>
      <c r="L144" s="2">
        <f t="shared" si="8"/>
        <v>0</v>
      </c>
    </row>
    <row r="145" spans="1:12" x14ac:dyDescent="0.25">
      <c r="A145" t="s">
        <v>26</v>
      </c>
      <c r="B145" t="s">
        <v>24</v>
      </c>
      <c r="C145" t="s">
        <v>70</v>
      </c>
      <c r="D145" s="2">
        <v>50</v>
      </c>
      <c r="E145" s="2">
        <v>70</v>
      </c>
      <c r="F145">
        <v>3</v>
      </c>
      <c r="G145">
        <v>3</v>
      </c>
      <c r="H145">
        <f t="shared" si="6"/>
        <v>0</v>
      </c>
      <c r="I145" s="33">
        <v>44924</v>
      </c>
      <c r="J145" t="s">
        <v>36</v>
      </c>
      <c r="K145" s="2">
        <f t="shared" si="7"/>
        <v>0</v>
      </c>
      <c r="L145" s="2">
        <f t="shared" si="8"/>
        <v>0</v>
      </c>
    </row>
    <row r="146" spans="1:12" x14ac:dyDescent="0.25">
      <c r="A146" t="s">
        <v>27</v>
      </c>
      <c r="B146" t="s">
        <v>24</v>
      </c>
      <c r="C146" t="s">
        <v>71</v>
      </c>
      <c r="D146" s="2">
        <v>10</v>
      </c>
      <c r="E146" s="2">
        <v>15</v>
      </c>
      <c r="F146">
        <v>9</v>
      </c>
      <c r="G146">
        <v>5</v>
      </c>
      <c r="H146">
        <f t="shared" si="6"/>
        <v>4</v>
      </c>
      <c r="I146" s="33">
        <v>44924</v>
      </c>
      <c r="J146" t="s">
        <v>36</v>
      </c>
      <c r="K146" s="2">
        <f t="shared" si="7"/>
        <v>60</v>
      </c>
      <c r="L146" s="2">
        <f t="shared" si="8"/>
        <v>20</v>
      </c>
    </row>
    <row r="147" spans="1:12" x14ac:dyDescent="0.25">
      <c r="A147" t="s">
        <v>28</v>
      </c>
      <c r="B147" t="s">
        <v>24</v>
      </c>
      <c r="C147" t="s">
        <v>72</v>
      </c>
      <c r="D147" s="2">
        <v>20</v>
      </c>
      <c r="E147" s="2">
        <v>25</v>
      </c>
      <c r="F147">
        <v>9</v>
      </c>
      <c r="G147">
        <v>7</v>
      </c>
      <c r="H147">
        <f t="shared" si="6"/>
        <v>2</v>
      </c>
      <c r="I147" s="33">
        <v>44924</v>
      </c>
      <c r="J147" t="s">
        <v>36</v>
      </c>
      <c r="K147" s="2">
        <f t="shared" si="7"/>
        <v>50</v>
      </c>
      <c r="L147" s="2">
        <f t="shared" si="8"/>
        <v>10</v>
      </c>
    </row>
    <row r="148" spans="1:12" x14ac:dyDescent="0.25">
      <c r="A148" t="s">
        <v>29</v>
      </c>
      <c r="B148" t="s">
        <v>30</v>
      </c>
      <c r="C148" t="s">
        <v>73</v>
      </c>
      <c r="D148" s="2">
        <v>25</v>
      </c>
      <c r="E148" s="2">
        <v>30</v>
      </c>
      <c r="F148">
        <v>10</v>
      </c>
      <c r="G148">
        <v>3</v>
      </c>
      <c r="H148">
        <f t="shared" si="6"/>
        <v>7</v>
      </c>
      <c r="I148" s="33">
        <v>44924</v>
      </c>
      <c r="J148" t="s">
        <v>36</v>
      </c>
      <c r="K148" s="2">
        <f t="shared" si="7"/>
        <v>210</v>
      </c>
      <c r="L148" s="2">
        <f t="shared" si="8"/>
        <v>35</v>
      </c>
    </row>
    <row r="149" spans="1:12" x14ac:dyDescent="0.25">
      <c r="A149" t="s">
        <v>31</v>
      </c>
      <c r="B149" t="s">
        <v>30</v>
      </c>
      <c r="C149" t="s">
        <v>74</v>
      </c>
      <c r="D149" s="2">
        <v>25</v>
      </c>
      <c r="E149" s="2">
        <v>30</v>
      </c>
      <c r="F149">
        <v>8</v>
      </c>
      <c r="G149">
        <v>7</v>
      </c>
      <c r="H149">
        <f t="shared" si="6"/>
        <v>1</v>
      </c>
      <c r="I149" s="33">
        <v>44924</v>
      </c>
      <c r="J149" t="s">
        <v>36</v>
      </c>
      <c r="K149" s="2">
        <f t="shared" si="7"/>
        <v>30</v>
      </c>
      <c r="L149" s="2">
        <f t="shared" si="8"/>
        <v>5</v>
      </c>
    </row>
    <row r="150" spans="1:12" x14ac:dyDescent="0.25">
      <c r="A150" t="s">
        <v>32</v>
      </c>
      <c r="B150" t="s">
        <v>30</v>
      </c>
      <c r="C150" t="s">
        <v>75</v>
      </c>
      <c r="D150" s="2">
        <v>25</v>
      </c>
      <c r="E150" s="2">
        <v>30</v>
      </c>
      <c r="F150">
        <v>3</v>
      </c>
      <c r="G150">
        <v>0</v>
      </c>
      <c r="H150">
        <f t="shared" si="6"/>
        <v>3</v>
      </c>
      <c r="I150" s="33">
        <v>44924</v>
      </c>
      <c r="J150" t="s">
        <v>36</v>
      </c>
      <c r="K150" s="2">
        <f t="shared" si="7"/>
        <v>90</v>
      </c>
      <c r="L150" s="2">
        <f t="shared" si="8"/>
        <v>15</v>
      </c>
    </row>
    <row r="151" spans="1:12" x14ac:dyDescent="0.25">
      <c r="A151" t="s">
        <v>33</v>
      </c>
      <c r="B151" t="s">
        <v>30</v>
      </c>
      <c r="C151" t="s">
        <v>76</v>
      </c>
      <c r="D151" s="2">
        <v>30</v>
      </c>
      <c r="E151" s="2">
        <v>35</v>
      </c>
      <c r="F151">
        <v>3</v>
      </c>
      <c r="G151">
        <v>0</v>
      </c>
      <c r="H151">
        <f t="shared" si="6"/>
        <v>3</v>
      </c>
      <c r="I151" s="33">
        <v>44924</v>
      </c>
      <c r="J151" t="s">
        <v>36</v>
      </c>
      <c r="K151" s="2">
        <f t="shared" si="7"/>
        <v>105</v>
      </c>
      <c r="L151" s="2">
        <f t="shared" si="8"/>
        <v>15</v>
      </c>
    </row>
    <row r="152" spans="1:12" x14ac:dyDescent="0.25">
      <c r="A152" t="s">
        <v>2</v>
      </c>
      <c r="B152" t="s">
        <v>3</v>
      </c>
      <c r="C152" t="s">
        <v>48</v>
      </c>
      <c r="D152" s="2">
        <v>100</v>
      </c>
      <c r="E152" s="2">
        <v>200</v>
      </c>
      <c r="F152">
        <v>11</v>
      </c>
      <c r="G152">
        <v>9</v>
      </c>
      <c r="H152">
        <f t="shared" si="6"/>
        <v>2</v>
      </c>
      <c r="I152" s="33">
        <v>44925</v>
      </c>
      <c r="J152" t="s">
        <v>37</v>
      </c>
      <c r="K152" s="2">
        <f t="shared" si="7"/>
        <v>400</v>
      </c>
      <c r="L152" s="2">
        <f t="shared" si="8"/>
        <v>200</v>
      </c>
    </row>
    <row r="153" spans="1:12" x14ac:dyDescent="0.25">
      <c r="A153" t="s">
        <v>7</v>
      </c>
      <c r="B153" t="s">
        <v>3</v>
      </c>
      <c r="C153" t="s">
        <v>77</v>
      </c>
      <c r="D153" s="2">
        <v>200</v>
      </c>
      <c r="E153" s="2">
        <v>300</v>
      </c>
      <c r="F153">
        <v>4</v>
      </c>
      <c r="G153">
        <v>2</v>
      </c>
      <c r="H153">
        <f t="shared" si="6"/>
        <v>2</v>
      </c>
      <c r="I153" s="33">
        <v>44925</v>
      </c>
      <c r="J153" t="s">
        <v>37</v>
      </c>
      <c r="K153" s="2">
        <f t="shared" si="7"/>
        <v>600</v>
      </c>
      <c r="L153" s="2">
        <f t="shared" si="8"/>
        <v>200</v>
      </c>
    </row>
    <row r="154" spans="1:12" x14ac:dyDescent="0.25">
      <c r="A154" t="s">
        <v>23</v>
      </c>
      <c r="B154" t="s">
        <v>3</v>
      </c>
      <c r="C154" t="s">
        <v>52</v>
      </c>
      <c r="D154" s="2">
        <v>150</v>
      </c>
      <c r="E154" s="2">
        <v>250</v>
      </c>
      <c r="F154">
        <v>1</v>
      </c>
      <c r="G154">
        <v>1</v>
      </c>
      <c r="H154">
        <f t="shared" si="6"/>
        <v>0</v>
      </c>
      <c r="I154" s="33">
        <v>44925</v>
      </c>
      <c r="J154" t="s">
        <v>37</v>
      </c>
      <c r="K154" s="2">
        <f t="shared" si="7"/>
        <v>0</v>
      </c>
      <c r="L154" s="2">
        <f t="shared" si="8"/>
        <v>0</v>
      </c>
    </row>
    <row r="155" spans="1:12" x14ac:dyDescent="0.25">
      <c r="A155" t="s">
        <v>9</v>
      </c>
      <c r="B155" t="s">
        <v>3</v>
      </c>
      <c r="C155" t="s">
        <v>53</v>
      </c>
      <c r="D155" s="2">
        <v>100</v>
      </c>
      <c r="E155" s="2">
        <v>200</v>
      </c>
      <c r="F155">
        <v>9</v>
      </c>
      <c r="G155">
        <v>8</v>
      </c>
      <c r="H155">
        <f t="shared" si="6"/>
        <v>1</v>
      </c>
      <c r="I155" s="33">
        <v>44925</v>
      </c>
      <c r="J155" t="s">
        <v>37</v>
      </c>
      <c r="K155" s="2">
        <f t="shared" si="7"/>
        <v>200</v>
      </c>
      <c r="L155" s="2">
        <f t="shared" si="8"/>
        <v>100</v>
      </c>
    </row>
    <row r="156" spans="1:12" x14ac:dyDescent="0.25">
      <c r="A156" t="s">
        <v>2</v>
      </c>
      <c r="B156" t="s">
        <v>12</v>
      </c>
      <c r="C156" t="s">
        <v>49</v>
      </c>
      <c r="D156" s="2">
        <v>250</v>
      </c>
      <c r="E156" s="2">
        <v>350</v>
      </c>
      <c r="F156">
        <v>7</v>
      </c>
      <c r="G156">
        <v>2</v>
      </c>
      <c r="H156">
        <f t="shared" si="6"/>
        <v>5</v>
      </c>
      <c r="I156" s="33">
        <v>44925</v>
      </c>
      <c r="J156" t="s">
        <v>37</v>
      </c>
      <c r="K156" s="2">
        <f t="shared" si="7"/>
        <v>1750</v>
      </c>
      <c r="L156" s="2">
        <f t="shared" si="8"/>
        <v>500</v>
      </c>
    </row>
    <row r="157" spans="1:12" x14ac:dyDescent="0.25">
      <c r="A157" t="s">
        <v>7</v>
      </c>
      <c r="B157" t="s">
        <v>12</v>
      </c>
      <c r="C157" t="s">
        <v>54</v>
      </c>
      <c r="D157" s="2">
        <v>300</v>
      </c>
      <c r="E157" s="2">
        <v>400</v>
      </c>
      <c r="F157">
        <v>0</v>
      </c>
      <c r="G157">
        <v>0</v>
      </c>
      <c r="H157">
        <f t="shared" si="6"/>
        <v>0</v>
      </c>
      <c r="I157" s="33">
        <v>44925</v>
      </c>
      <c r="J157" t="s">
        <v>37</v>
      </c>
      <c r="K157" s="2">
        <f t="shared" si="7"/>
        <v>0</v>
      </c>
      <c r="L157" s="2">
        <f t="shared" si="8"/>
        <v>0</v>
      </c>
    </row>
    <row r="158" spans="1:12" x14ac:dyDescent="0.25">
      <c r="A158" t="s">
        <v>8</v>
      </c>
      <c r="B158" t="s">
        <v>12</v>
      </c>
      <c r="C158" t="s">
        <v>55</v>
      </c>
      <c r="D158" s="2">
        <v>250</v>
      </c>
      <c r="E158" s="2">
        <v>350</v>
      </c>
      <c r="F158">
        <v>5</v>
      </c>
      <c r="G158">
        <v>0</v>
      </c>
      <c r="H158">
        <f t="shared" si="6"/>
        <v>5</v>
      </c>
      <c r="I158" s="33">
        <v>44925</v>
      </c>
      <c r="J158" t="s">
        <v>37</v>
      </c>
      <c r="K158" s="2">
        <f t="shared" si="7"/>
        <v>1750</v>
      </c>
      <c r="L158" s="2">
        <f t="shared" si="8"/>
        <v>500</v>
      </c>
    </row>
    <row r="159" spans="1:12" x14ac:dyDescent="0.25">
      <c r="A159" t="s">
        <v>9</v>
      </c>
      <c r="B159" t="s">
        <v>12</v>
      </c>
      <c r="C159" t="s">
        <v>56</v>
      </c>
      <c r="D159" s="2">
        <v>250</v>
      </c>
      <c r="E159" s="2">
        <v>350</v>
      </c>
      <c r="F159">
        <v>6</v>
      </c>
      <c r="G159">
        <v>2</v>
      </c>
      <c r="H159">
        <f t="shared" si="6"/>
        <v>4</v>
      </c>
      <c r="I159" s="33">
        <v>44925</v>
      </c>
      <c r="J159" t="s">
        <v>37</v>
      </c>
      <c r="K159" s="2">
        <f t="shared" si="7"/>
        <v>1400</v>
      </c>
      <c r="L159" s="2">
        <f t="shared" si="8"/>
        <v>400</v>
      </c>
    </row>
    <row r="160" spans="1:12" x14ac:dyDescent="0.25">
      <c r="A160" t="s">
        <v>13</v>
      </c>
      <c r="B160" t="s">
        <v>12</v>
      </c>
      <c r="C160" t="s">
        <v>57</v>
      </c>
      <c r="D160" s="2">
        <v>300</v>
      </c>
      <c r="E160" s="2">
        <v>450</v>
      </c>
      <c r="F160">
        <v>3</v>
      </c>
      <c r="G160">
        <v>1</v>
      </c>
      <c r="H160">
        <f t="shared" si="6"/>
        <v>2</v>
      </c>
      <c r="I160" s="33">
        <v>44925</v>
      </c>
      <c r="J160" t="s">
        <v>37</v>
      </c>
      <c r="K160" s="2">
        <f t="shared" si="7"/>
        <v>900</v>
      </c>
      <c r="L160" s="2">
        <f t="shared" si="8"/>
        <v>300</v>
      </c>
    </row>
    <row r="161" spans="1:12" x14ac:dyDescent="0.25">
      <c r="A161" t="s">
        <v>14</v>
      </c>
      <c r="B161" t="s">
        <v>16</v>
      </c>
      <c r="C161" t="s">
        <v>50</v>
      </c>
      <c r="D161" s="2">
        <v>320</v>
      </c>
      <c r="E161" s="2">
        <v>400</v>
      </c>
      <c r="F161">
        <v>2</v>
      </c>
      <c r="G161">
        <v>2</v>
      </c>
      <c r="H161">
        <f t="shared" si="6"/>
        <v>0</v>
      </c>
      <c r="I161" s="33">
        <v>44925</v>
      </c>
      <c r="J161" t="s">
        <v>37</v>
      </c>
      <c r="K161" s="2">
        <f t="shared" si="7"/>
        <v>0</v>
      </c>
      <c r="L161" s="2">
        <f t="shared" si="8"/>
        <v>0</v>
      </c>
    </row>
    <row r="162" spans="1:12" x14ac:dyDescent="0.25">
      <c r="A162" t="s">
        <v>15</v>
      </c>
      <c r="B162" t="s">
        <v>16</v>
      </c>
      <c r="C162" t="s">
        <v>58</v>
      </c>
      <c r="D162" s="2">
        <v>100</v>
      </c>
      <c r="E162" s="2">
        <v>150</v>
      </c>
      <c r="F162">
        <v>10</v>
      </c>
      <c r="G162">
        <v>9</v>
      </c>
      <c r="H162">
        <f t="shared" si="6"/>
        <v>1</v>
      </c>
      <c r="I162" s="33">
        <v>44925</v>
      </c>
      <c r="J162" t="s">
        <v>37</v>
      </c>
      <c r="K162" s="2">
        <f t="shared" si="7"/>
        <v>150</v>
      </c>
      <c r="L162" s="2">
        <f t="shared" si="8"/>
        <v>50</v>
      </c>
    </row>
    <row r="163" spans="1:12" x14ac:dyDescent="0.25">
      <c r="A163" t="s">
        <v>2</v>
      </c>
      <c r="B163" t="s">
        <v>21</v>
      </c>
      <c r="C163" t="s">
        <v>51</v>
      </c>
      <c r="D163" s="2">
        <v>25</v>
      </c>
      <c r="E163" s="2">
        <v>40</v>
      </c>
      <c r="F163">
        <v>25</v>
      </c>
      <c r="G163">
        <v>19</v>
      </c>
      <c r="H163">
        <f t="shared" si="6"/>
        <v>6</v>
      </c>
      <c r="I163" s="33">
        <v>44925</v>
      </c>
      <c r="J163" t="s">
        <v>37</v>
      </c>
      <c r="K163" s="2">
        <f t="shared" si="7"/>
        <v>240</v>
      </c>
      <c r="L163" s="2">
        <f t="shared" si="8"/>
        <v>90</v>
      </c>
    </row>
    <row r="164" spans="1:12" x14ac:dyDescent="0.25">
      <c r="A164" t="s">
        <v>7</v>
      </c>
      <c r="B164" t="s">
        <v>21</v>
      </c>
      <c r="C164" t="s">
        <v>59</v>
      </c>
      <c r="D164" s="2">
        <v>30</v>
      </c>
      <c r="E164" s="2">
        <v>50</v>
      </c>
      <c r="F164">
        <v>21</v>
      </c>
      <c r="G164">
        <v>14</v>
      </c>
      <c r="H164">
        <f t="shared" si="6"/>
        <v>7</v>
      </c>
      <c r="I164" s="33">
        <v>44925</v>
      </c>
      <c r="J164" t="s">
        <v>37</v>
      </c>
      <c r="K164" s="2">
        <f t="shared" si="7"/>
        <v>350</v>
      </c>
      <c r="L164" s="2">
        <f t="shared" si="8"/>
        <v>140</v>
      </c>
    </row>
    <row r="165" spans="1:12" x14ac:dyDescent="0.25">
      <c r="A165" t="s">
        <v>9</v>
      </c>
      <c r="B165" t="s">
        <v>21</v>
      </c>
      <c r="C165" t="s">
        <v>60</v>
      </c>
      <c r="D165" s="2">
        <v>25</v>
      </c>
      <c r="E165" s="2">
        <v>40</v>
      </c>
      <c r="F165">
        <v>20</v>
      </c>
      <c r="G165">
        <v>12</v>
      </c>
      <c r="H165">
        <f t="shared" si="6"/>
        <v>8</v>
      </c>
      <c r="I165" s="33">
        <v>44925</v>
      </c>
      <c r="J165" t="s">
        <v>37</v>
      </c>
      <c r="K165" s="2">
        <f t="shared" si="7"/>
        <v>320</v>
      </c>
      <c r="L165" s="2">
        <f t="shared" si="8"/>
        <v>120</v>
      </c>
    </row>
    <row r="166" spans="1:12" x14ac:dyDescent="0.25">
      <c r="A166" t="s">
        <v>23</v>
      </c>
      <c r="B166" t="s">
        <v>21</v>
      </c>
      <c r="C166" t="s">
        <v>61</v>
      </c>
      <c r="D166" s="2">
        <v>25</v>
      </c>
      <c r="E166" s="2">
        <v>40</v>
      </c>
      <c r="F166">
        <v>32</v>
      </c>
      <c r="G166">
        <v>22</v>
      </c>
      <c r="H166">
        <f t="shared" si="6"/>
        <v>10</v>
      </c>
      <c r="I166" s="33">
        <v>44925</v>
      </c>
      <c r="J166" t="s">
        <v>37</v>
      </c>
      <c r="K166" s="2">
        <f t="shared" si="7"/>
        <v>400</v>
      </c>
      <c r="L166" s="2">
        <f t="shared" si="8"/>
        <v>150</v>
      </c>
    </row>
    <row r="167" spans="1:12" x14ac:dyDescent="0.25">
      <c r="A167" t="s">
        <v>13</v>
      </c>
      <c r="B167" t="s">
        <v>21</v>
      </c>
      <c r="C167" t="s">
        <v>62</v>
      </c>
      <c r="D167" s="2">
        <v>30</v>
      </c>
      <c r="E167" s="2">
        <v>55</v>
      </c>
      <c r="F167">
        <v>30</v>
      </c>
      <c r="G167">
        <v>25</v>
      </c>
      <c r="H167">
        <f t="shared" si="6"/>
        <v>5</v>
      </c>
      <c r="I167" s="33">
        <v>44925</v>
      </c>
      <c r="J167" t="s">
        <v>37</v>
      </c>
      <c r="K167" s="2">
        <f t="shared" si="7"/>
        <v>275</v>
      </c>
      <c r="L167" s="2">
        <f t="shared" si="8"/>
        <v>125</v>
      </c>
    </row>
    <row r="168" spans="1:12" x14ac:dyDescent="0.25">
      <c r="A168" t="s">
        <v>17</v>
      </c>
      <c r="B168" t="s">
        <v>21</v>
      </c>
      <c r="C168" t="s">
        <v>63</v>
      </c>
      <c r="D168" s="2">
        <v>40</v>
      </c>
      <c r="E168" s="2">
        <v>65</v>
      </c>
      <c r="F168">
        <v>20</v>
      </c>
      <c r="G168">
        <v>10</v>
      </c>
      <c r="H168">
        <f t="shared" si="6"/>
        <v>10</v>
      </c>
      <c r="I168" s="33">
        <v>44925</v>
      </c>
      <c r="J168" t="s">
        <v>37</v>
      </c>
      <c r="K168" s="2">
        <f t="shared" si="7"/>
        <v>650</v>
      </c>
      <c r="L168" s="2">
        <f t="shared" si="8"/>
        <v>250</v>
      </c>
    </row>
    <row r="169" spans="1:12" x14ac:dyDescent="0.25">
      <c r="A169" t="s">
        <v>34</v>
      </c>
      <c r="B169" t="s">
        <v>21</v>
      </c>
      <c r="C169" t="s">
        <v>64</v>
      </c>
      <c r="D169" s="2">
        <v>50</v>
      </c>
      <c r="E169" s="2">
        <v>70</v>
      </c>
      <c r="F169">
        <v>3</v>
      </c>
      <c r="G169">
        <v>2</v>
      </c>
      <c r="H169">
        <f t="shared" si="6"/>
        <v>1</v>
      </c>
      <c r="I169" s="33">
        <v>44925</v>
      </c>
      <c r="J169" t="s">
        <v>37</v>
      </c>
      <c r="K169" s="2">
        <f t="shared" si="7"/>
        <v>70</v>
      </c>
      <c r="L169" s="2">
        <f t="shared" si="8"/>
        <v>20</v>
      </c>
    </row>
    <row r="170" spans="1:12" x14ac:dyDescent="0.25">
      <c r="A170" t="s">
        <v>18</v>
      </c>
      <c r="B170" t="s">
        <v>21</v>
      </c>
      <c r="C170" t="s">
        <v>65</v>
      </c>
      <c r="D170" s="2">
        <v>20</v>
      </c>
      <c r="E170" s="2">
        <v>30</v>
      </c>
      <c r="F170">
        <v>57</v>
      </c>
      <c r="G170">
        <v>45</v>
      </c>
      <c r="H170">
        <f t="shared" si="6"/>
        <v>12</v>
      </c>
      <c r="I170" s="33">
        <v>44925</v>
      </c>
      <c r="J170" t="s">
        <v>37</v>
      </c>
      <c r="K170" s="2">
        <f t="shared" si="7"/>
        <v>360</v>
      </c>
      <c r="L170" s="2">
        <f t="shared" si="8"/>
        <v>120</v>
      </c>
    </row>
    <row r="171" spans="1:12" x14ac:dyDescent="0.25">
      <c r="A171" t="s">
        <v>19</v>
      </c>
      <c r="B171" t="s">
        <v>21</v>
      </c>
      <c r="C171" t="s">
        <v>66</v>
      </c>
      <c r="D171" s="2">
        <v>10</v>
      </c>
      <c r="E171" s="2">
        <v>20</v>
      </c>
      <c r="F171">
        <v>6</v>
      </c>
      <c r="G171">
        <v>4</v>
      </c>
      <c r="H171">
        <f t="shared" si="6"/>
        <v>2</v>
      </c>
      <c r="I171" s="33">
        <v>44925</v>
      </c>
      <c r="J171" t="s">
        <v>37</v>
      </c>
      <c r="K171" s="2">
        <f t="shared" si="7"/>
        <v>40</v>
      </c>
      <c r="L171" s="2">
        <f t="shared" si="8"/>
        <v>20</v>
      </c>
    </row>
    <row r="172" spans="1:12" x14ac:dyDescent="0.25">
      <c r="A172" t="s">
        <v>20</v>
      </c>
      <c r="B172" t="s">
        <v>21</v>
      </c>
      <c r="C172" t="s">
        <v>67</v>
      </c>
      <c r="D172" s="2">
        <v>60</v>
      </c>
      <c r="E172" s="2">
        <v>100</v>
      </c>
      <c r="F172">
        <v>22</v>
      </c>
      <c r="G172">
        <v>6</v>
      </c>
      <c r="H172">
        <f t="shared" si="6"/>
        <v>16</v>
      </c>
      <c r="I172" s="33">
        <v>44925</v>
      </c>
      <c r="J172" t="s">
        <v>37</v>
      </c>
      <c r="K172" s="2">
        <f t="shared" si="7"/>
        <v>1600</v>
      </c>
      <c r="L172" s="2">
        <f t="shared" si="8"/>
        <v>640</v>
      </c>
    </row>
    <row r="173" spans="1:12" x14ac:dyDescent="0.25">
      <c r="A173" t="s">
        <v>22</v>
      </c>
      <c r="B173" t="s">
        <v>24</v>
      </c>
      <c r="C173" t="s">
        <v>68</v>
      </c>
      <c r="D173" s="2">
        <v>50</v>
      </c>
      <c r="E173" s="2">
        <v>70</v>
      </c>
      <c r="F173">
        <v>5</v>
      </c>
      <c r="G173">
        <v>5</v>
      </c>
      <c r="H173">
        <f t="shared" si="6"/>
        <v>0</v>
      </c>
      <c r="I173" s="33">
        <v>44925</v>
      </c>
      <c r="J173" t="s">
        <v>37</v>
      </c>
      <c r="K173" s="2">
        <f t="shared" si="7"/>
        <v>0</v>
      </c>
      <c r="L173" s="2">
        <f t="shared" si="8"/>
        <v>0</v>
      </c>
    </row>
    <row r="174" spans="1:12" x14ac:dyDescent="0.25">
      <c r="A174" t="s">
        <v>25</v>
      </c>
      <c r="B174" t="s">
        <v>24</v>
      </c>
      <c r="C174" t="s">
        <v>69</v>
      </c>
      <c r="D174" s="2">
        <v>45</v>
      </c>
      <c r="E174" s="2">
        <v>65</v>
      </c>
      <c r="F174">
        <v>4</v>
      </c>
      <c r="G174">
        <v>4</v>
      </c>
      <c r="H174">
        <f t="shared" si="6"/>
        <v>0</v>
      </c>
      <c r="I174" s="33">
        <v>44925</v>
      </c>
      <c r="J174" t="s">
        <v>37</v>
      </c>
      <c r="K174" s="2">
        <f t="shared" si="7"/>
        <v>0</v>
      </c>
      <c r="L174" s="2">
        <f t="shared" si="8"/>
        <v>0</v>
      </c>
    </row>
    <row r="175" spans="1:12" x14ac:dyDescent="0.25">
      <c r="A175" t="s">
        <v>26</v>
      </c>
      <c r="B175" t="s">
        <v>24</v>
      </c>
      <c r="C175" t="s">
        <v>70</v>
      </c>
      <c r="D175" s="2">
        <v>50</v>
      </c>
      <c r="E175" s="2">
        <v>70</v>
      </c>
      <c r="F175">
        <v>3</v>
      </c>
      <c r="G175">
        <v>3</v>
      </c>
      <c r="H175">
        <f t="shared" si="6"/>
        <v>0</v>
      </c>
      <c r="I175" s="33">
        <v>44925</v>
      </c>
      <c r="J175" t="s">
        <v>37</v>
      </c>
      <c r="K175" s="2">
        <f t="shared" si="7"/>
        <v>0</v>
      </c>
      <c r="L175" s="2">
        <f t="shared" si="8"/>
        <v>0</v>
      </c>
    </row>
    <row r="176" spans="1:12" x14ac:dyDescent="0.25">
      <c r="A176" t="s">
        <v>27</v>
      </c>
      <c r="B176" t="s">
        <v>24</v>
      </c>
      <c r="C176" t="s">
        <v>71</v>
      </c>
      <c r="D176" s="2">
        <v>10</v>
      </c>
      <c r="E176" s="2">
        <v>15</v>
      </c>
      <c r="F176">
        <v>5</v>
      </c>
      <c r="G176">
        <v>0</v>
      </c>
      <c r="H176">
        <f t="shared" si="6"/>
        <v>5</v>
      </c>
      <c r="I176" s="33">
        <v>44925</v>
      </c>
      <c r="J176" t="s">
        <v>37</v>
      </c>
      <c r="K176" s="2">
        <f t="shared" si="7"/>
        <v>75</v>
      </c>
      <c r="L176" s="2">
        <f t="shared" si="8"/>
        <v>25</v>
      </c>
    </row>
    <row r="177" spans="1:12" x14ac:dyDescent="0.25">
      <c r="A177" t="s">
        <v>28</v>
      </c>
      <c r="B177" t="s">
        <v>24</v>
      </c>
      <c r="C177" t="s">
        <v>72</v>
      </c>
      <c r="D177" s="2">
        <v>20</v>
      </c>
      <c r="E177" s="2">
        <v>25</v>
      </c>
      <c r="F177">
        <v>7</v>
      </c>
      <c r="G177">
        <v>3</v>
      </c>
      <c r="H177">
        <f t="shared" si="6"/>
        <v>4</v>
      </c>
      <c r="I177" s="33">
        <v>44925</v>
      </c>
      <c r="J177" t="s">
        <v>37</v>
      </c>
      <c r="K177" s="2">
        <f t="shared" si="7"/>
        <v>100</v>
      </c>
      <c r="L177" s="2">
        <f t="shared" si="8"/>
        <v>20</v>
      </c>
    </row>
    <row r="178" spans="1:12" x14ac:dyDescent="0.25">
      <c r="A178" t="s">
        <v>29</v>
      </c>
      <c r="B178" t="s">
        <v>30</v>
      </c>
      <c r="C178" t="s">
        <v>73</v>
      </c>
      <c r="D178" s="2">
        <v>25</v>
      </c>
      <c r="E178" s="2">
        <v>30</v>
      </c>
      <c r="F178">
        <v>18</v>
      </c>
      <c r="G178">
        <v>16</v>
      </c>
      <c r="H178">
        <f t="shared" si="6"/>
        <v>2</v>
      </c>
      <c r="I178" s="33">
        <v>44925</v>
      </c>
      <c r="J178" t="s">
        <v>37</v>
      </c>
      <c r="K178" s="2">
        <f t="shared" si="7"/>
        <v>60</v>
      </c>
      <c r="L178" s="2">
        <f t="shared" si="8"/>
        <v>10</v>
      </c>
    </row>
    <row r="179" spans="1:12" x14ac:dyDescent="0.25">
      <c r="A179" t="s">
        <v>31</v>
      </c>
      <c r="B179" t="s">
        <v>30</v>
      </c>
      <c r="C179" t="s">
        <v>74</v>
      </c>
      <c r="D179" s="2">
        <v>25</v>
      </c>
      <c r="E179" s="2">
        <v>30</v>
      </c>
      <c r="F179">
        <v>7</v>
      </c>
      <c r="G179">
        <v>7</v>
      </c>
      <c r="H179">
        <f t="shared" si="6"/>
        <v>0</v>
      </c>
      <c r="I179" s="33">
        <v>44925</v>
      </c>
      <c r="J179" t="s">
        <v>37</v>
      </c>
      <c r="K179" s="2">
        <f t="shared" si="7"/>
        <v>0</v>
      </c>
      <c r="L179" s="2">
        <f t="shared" si="8"/>
        <v>0</v>
      </c>
    </row>
    <row r="180" spans="1:12" x14ac:dyDescent="0.25">
      <c r="A180" t="s">
        <v>32</v>
      </c>
      <c r="B180" t="s">
        <v>30</v>
      </c>
      <c r="C180" t="s">
        <v>75</v>
      </c>
      <c r="D180" s="2">
        <v>25</v>
      </c>
      <c r="E180" s="2">
        <v>30</v>
      </c>
      <c r="F180">
        <v>5</v>
      </c>
      <c r="G180">
        <v>0</v>
      </c>
      <c r="H180">
        <f t="shared" si="6"/>
        <v>5</v>
      </c>
      <c r="I180" s="33">
        <v>44925</v>
      </c>
      <c r="J180" t="s">
        <v>37</v>
      </c>
      <c r="K180" s="2">
        <f t="shared" si="7"/>
        <v>150</v>
      </c>
      <c r="L180" s="2">
        <f t="shared" si="8"/>
        <v>25</v>
      </c>
    </row>
    <row r="181" spans="1:12" x14ac:dyDescent="0.25">
      <c r="A181" t="s">
        <v>33</v>
      </c>
      <c r="B181" t="s">
        <v>30</v>
      </c>
      <c r="C181" t="s">
        <v>76</v>
      </c>
      <c r="D181" s="2">
        <v>30</v>
      </c>
      <c r="E181" s="2">
        <v>35</v>
      </c>
      <c r="F181">
        <v>13</v>
      </c>
      <c r="G181">
        <v>10</v>
      </c>
      <c r="H181">
        <f t="shared" si="6"/>
        <v>3</v>
      </c>
      <c r="I181" s="33">
        <v>44925</v>
      </c>
      <c r="J181" t="s">
        <v>37</v>
      </c>
      <c r="K181" s="2">
        <f t="shared" si="7"/>
        <v>105</v>
      </c>
      <c r="L181" s="2">
        <f t="shared" si="8"/>
        <v>15</v>
      </c>
    </row>
    <row r="182" spans="1:12" x14ac:dyDescent="0.25">
      <c r="A182" t="s">
        <v>2</v>
      </c>
      <c r="B182" t="s">
        <v>3</v>
      </c>
      <c r="C182" t="s">
        <v>48</v>
      </c>
      <c r="D182" s="2">
        <v>100</v>
      </c>
      <c r="E182" s="2">
        <v>200</v>
      </c>
      <c r="F182">
        <v>16</v>
      </c>
      <c r="G182">
        <v>5</v>
      </c>
      <c r="H182">
        <f t="shared" si="6"/>
        <v>11</v>
      </c>
      <c r="I182" s="33">
        <v>44926</v>
      </c>
      <c r="J182" t="s">
        <v>38</v>
      </c>
      <c r="K182" s="2">
        <f t="shared" si="7"/>
        <v>2200</v>
      </c>
      <c r="L182" s="2">
        <f t="shared" si="8"/>
        <v>1100</v>
      </c>
    </row>
    <row r="183" spans="1:12" x14ac:dyDescent="0.25">
      <c r="A183" t="s">
        <v>7</v>
      </c>
      <c r="B183" t="s">
        <v>3</v>
      </c>
      <c r="C183" t="s">
        <v>77</v>
      </c>
      <c r="D183" s="2">
        <v>200</v>
      </c>
      <c r="E183" s="2">
        <v>300</v>
      </c>
      <c r="F183">
        <v>8</v>
      </c>
      <c r="G183">
        <v>2</v>
      </c>
      <c r="H183">
        <f t="shared" si="6"/>
        <v>6</v>
      </c>
      <c r="I183" s="33">
        <v>44926</v>
      </c>
      <c r="J183" t="s">
        <v>38</v>
      </c>
      <c r="K183" s="2">
        <f t="shared" si="7"/>
        <v>1800</v>
      </c>
      <c r="L183" s="2">
        <f t="shared" si="8"/>
        <v>600</v>
      </c>
    </row>
    <row r="184" spans="1:12" x14ac:dyDescent="0.25">
      <c r="A184" t="s">
        <v>23</v>
      </c>
      <c r="B184" t="s">
        <v>3</v>
      </c>
      <c r="C184" t="s">
        <v>52</v>
      </c>
      <c r="D184" s="2">
        <v>150</v>
      </c>
      <c r="E184" s="2">
        <v>250</v>
      </c>
      <c r="F184">
        <v>6</v>
      </c>
      <c r="G184">
        <v>3</v>
      </c>
      <c r="H184">
        <f t="shared" si="6"/>
        <v>3</v>
      </c>
      <c r="I184" s="33">
        <v>44926</v>
      </c>
      <c r="J184" t="s">
        <v>38</v>
      </c>
      <c r="K184" s="2">
        <f t="shared" si="7"/>
        <v>750</v>
      </c>
      <c r="L184" s="2">
        <f t="shared" si="8"/>
        <v>300</v>
      </c>
    </row>
    <row r="185" spans="1:12" x14ac:dyDescent="0.25">
      <c r="A185" t="s">
        <v>9</v>
      </c>
      <c r="B185" t="s">
        <v>3</v>
      </c>
      <c r="C185" t="s">
        <v>53</v>
      </c>
      <c r="D185" s="2">
        <v>100</v>
      </c>
      <c r="E185" s="2">
        <v>200</v>
      </c>
      <c r="F185">
        <v>15</v>
      </c>
      <c r="G185">
        <v>8</v>
      </c>
      <c r="H185">
        <f t="shared" si="6"/>
        <v>7</v>
      </c>
      <c r="I185" s="33">
        <v>44926</v>
      </c>
      <c r="J185" t="s">
        <v>38</v>
      </c>
      <c r="K185" s="2">
        <f t="shared" si="7"/>
        <v>1400</v>
      </c>
      <c r="L185" s="2">
        <f t="shared" si="8"/>
        <v>700</v>
      </c>
    </row>
    <row r="186" spans="1:12" x14ac:dyDescent="0.25">
      <c r="A186" t="s">
        <v>2</v>
      </c>
      <c r="B186" t="s">
        <v>12</v>
      </c>
      <c r="C186" t="s">
        <v>49</v>
      </c>
      <c r="D186" s="2">
        <v>250</v>
      </c>
      <c r="E186" s="2">
        <v>350</v>
      </c>
      <c r="F186">
        <v>15</v>
      </c>
      <c r="G186">
        <v>4</v>
      </c>
      <c r="H186">
        <f t="shared" si="6"/>
        <v>11</v>
      </c>
      <c r="I186" s="33">
        <v>44926</v>
      </c>
      <c r="J186" t="s">
        <v>38</v>
      </c>
      <c r="K186" s="2">
        <f t="shared" si="7"/>
        <v>3850</v>
      </c>
      <c r="L186" s="2">
        <f t="shared" si="8"/>
        <v>1100</v>
      </c>
    </row>
    <row r="187" spans="1:12" x14ac:dyDescent="0.25">
      <c r="A187" t="s">
        <v>7</v>
      </c>
      <c r="B187" t="s">
        <v>12</v>
      </c>
      <c r="C187" t="s">
        <v>54</v>
      </c>
      <c r="D187" s="2">
        <v>300</v>
      </c>
      <c r="E187" s="2">
        <v>400</v>
      </c>
      <c r="F187">
        <v>2</v>
      </c>
      <c r="G187">
        <v>1</v>
      </c>
      <c r="H187">
        <f t="shared" si="6"/>
        <v>1</v>
      </c>
      <c r="I187" s="33">
        <v>44926</v>
      </c>
      <c r="J187" t="s">
        <v>38</v>
      </c>
      <c r="K187" s="2">
        <f t="shared" si="7"/>
        <v>400</v>
      </c>
      <c r="L187" s="2">
        <f t="shared" si="8"/>
        <v>100</v>
      </c>
    </row>
    <row r="188" spans="1:12" x14ac:dyDescent="0.25">
      <c r="A188" t="s">
        <v>8</v>
      </c>
      <c r="B188" t="s">
        <v>12</v>
      </c>
      <c r="C188" t="s">
        <v>55</v>
      </c>
      <c r="D188" s="2">
        <v>250</v>
      </c>
      <c r="E188" s="2">
        <v>350</v>
      </c>
      <c r="F188">
        <v>6</v>
      </c>
      <c r="G188">
        <v>1</v>
      </c>
      <c r="H188">
        <f t="shared" si="6"/>
        <v>5</v>
      </c>
      <c r="I188" s="33">
        <v>44926</v>
      </c>
      <c r="J188" t="s">
        <v>38</v>
      </c>
      <c r="K188" s="2">
        <f t="shared" si="7"/>
        <v>1750</v>
      </c>
      <c r="L188" s="2">
        <f t="shared" si="8"/>
        <v>500</v>
      </c>
    </row>
    <row r="189" spans="1:12" x14ac:dyDescent="0.25">
      <c r="A189" t="s">
        <v>9</v>
      </c>
      <c r="B189" t="s">
        <v>12</v>
      </c>
      <c r="C189" t="s">
        <v>56</v>
      </c>
      <c r="D189" s="2">
        <v>250</v>
      </c>
      <c r="E189" s="2">
        <v>350</v>
      </c>
      <c r="F189">
        <v>13</v>
      </c>
      <c r="G189">
        <v>2</v>
      </c>
      <c r="H189">
        <f t="shared" si="6"/>
        <v>11</v>
      </c>
      <c r="I189" s="33">
        <v>44926</v>
      </c>
      <c r="J189" t="s">
        <v>38</v>
      </c>
      <c r="K189" s="2">
        <f t="shared" si="7"/>
        <v>3850</v>
      </c>
      <c r="L189" s="2">
        <f t="shared" si="8"/>
        <v>1100</v>
      </c>
    </row>
    <row r="190" spans="1:12" x14ac:dyDescent="0.25">
      <c r="A190" t="s">
        <v>13</v>
      </c>
      <c r="B190" t="s">
        <v>12</v>
      </c>
      <c r="C190" t="s">
        <v>57</v>
      </c>
      <c r="D190" s="2">
        <v>300</v>
      </c>
      <c r="E190" s="2">
        <v>450</v>
      </c>
      <c r="F190">
        <v>6</v>
      </c>
      <c r="G190">
        <v>3</v>
      </c>
      <c r="H190">
        <f t="shared" si="6"/>
        <v>3</v>
      </c>
      <c r="I190" s="33">
        <v>44926</v>
      </c>
      <c r="J190" t="s">
        <v>38</v>
      </c>
      <c r="K190" s="2">
        <f t="shared" si="7"/>
        <v>1350</v>
      </c>
      <c r="L190" s="2">
        <f t="shared" si="8"/>
        <v>450</v>
      </c>
    </row>
    <row r="191" spans="1:12" x14ac:dyDescent="0.25">
      <c r="A191" t="s">
        <v>14</v>
      </c>
      <c r="B191" t="s">
        <v>16</v>
      </c>
      <c r="C191" t="s">
        <v>50</v>
      </c>
      <c r="D191" s="2">
        <v>320</v>
      </c>
      <c r="E191" s="2">
        <v>400</v>
      </c>
      <c r="F191">
        <v>2</v>
      </c>
      <c r="G191">
        <v>0</v>
      </c>
      <c r="H191">
        <f t="shared" si="6"/>
        <v>2</v>
      </c>
      <c r="I191" s="33">
        <v>44926</v>
      </c>
      <c r="J191" t="s">
        <v>38</v>
      </c>
      <c r="K191" s="2">
        <f t="shared" si="7"/>
        <v>800</v>
      </c>
      <c r="L191" s="2">
        <f t="shared" si="8"/>
        <v>160</v>
      </c>
    </row>
    <row r="192" spans="1:12" x14ac:dyDescent="0.25">
      <c r="A192" t="s">
        <v>15</v>
      </c>
      <c r="B192" t="s">
        <v>16</v>
      </c>
      <c r="C192" t="s">
        <v>58</v>
      </c>
      <c r="D192" s="2">
        <v>100</v>
      </c>
      <c r="E192" s="2">
        <v>150</v>
      </c>
      <c r="F192">
        <v>10</v>
      </c>
      <c r="G192">
        <v>3</v>
      </c>
      <c r="H192">
        <f t="shared" si="6"/>
        <v>7</v>
      </c>
      <c r="I192" s="33">
        <v>44926</v>
      </c>
      <c r="J192" t="s">
        <v>38</v>
      </c>
      <c r="K192" s="2">
        <f t="shared" si="7"/>
        <v>1050</v>
      </c>
      <c r="L192" s="2">
        <f t="shared" si="8"/>
        <v>350</v>
      </c>
    </row>
    <row r="193" spans="1:12" x14ac:dyDescent="0.25">
      <c r="A193" t="s">
        <v>2</v>
      </c>
      <c r="B193" t="s">
        <v>21</v>
      </c>
      <c r="C193" t="s">
        <v>51</v>
      </c>
      <c r="D193" s="2">
        <v>25</v>
      </c>
      <c r="E193" s="2">
        <v>40</v>
      </c>
      <c r="F193">
        <v>6</v>
      </c>
      <c r="G193">
        <v>0</v>
      </c>
      <c r="H193">
        <f t="shared" si="6"/>
        <v>6</v>
      </c>
      <c r="I193" s="33">
        <v>44926</v>
      </c>
      <c r="J193" t="s">
        <v>38</v>
      </c>
      <c r="K193" s="2">
        <f t="shared" si="7"/>
        <v>240</v>
      </c>
      <c r="L193" s="2">
        <f t="shared" si="8"/>
        <v>90</v>
      </c>
    </row>
    <row r="194" spans="1:12" x14ac:dyDescent="0.25">
      <c r="A194" t="s">
        <v>7</v>
      </c>
      <c r="B194" t="s">
        <v>21</v>
      </c>
      <c r="C194" t="s">
        <v>59</v>
      </c>
      <c r="D194" s="2">
        <v>30</v>
      </c>
      <c r="E194" s="2">
        <v>50</v>
      </c>
      <c r="F194">
        <v>7</v>
      </c>
      <c r="G194">
        <v>4</v>
      </c>
      <c r="H194">
        <f t="shared" ref="H194:H257" si="9">F194-G194</f>
        <v>3</v>
      </c>
      <c r="I194" s="33">
        <v>44926</v>
      </c>
      <c r="J194" t="s">
        <v>38</v>
      </c>
      <c r="K194" s="2">
        <f t="shared" ref="K194:K257" si="10">E194*H194</f>
        <v>150</v>
      </c>
      <c r="L194" s="2">
        <f t="shared" ref="L194:L257" si="11">(E194-D194)*H194</f>
        <v>60</v>
      </c>
    </row>
    <row r="195" spans="1:12" x14ac:dyDescent="0.25">
      <c r="A195" t="s">
        <v>9</v>
      </c>
      <c r="B195" t="s">
        <v>21</v>
      </c>
      <c r="C195" t="s">
        <v>60</v>
      </c>
      <c r="D195" s="2">
        <v>25</v>
      </c>
      <c r="E195" s="2">
        <v>40</v>
      </c>
      <c r="F195">
        <v>8</v>
      </c>
      <c r="G195">
        <v>0</v>
      </c>
      <c r="H195">
        <f t="shared" si="9"/>
        <v>8</v>
      </c>
      <c r="I195" s="33">
        <v>44926</v>
      </c>
      <c r="J195" t="s">
        <v>38</v>
      </c>
      <c r="K195" s="2">
        <f t="shared" si="10"/>
        <v>320</v>
      </c>
      <c r="L195" s="2">
        <f t="shared" si="11"/>
        <v>120</v>
      </c>
    </row>
    <row r="196" spans="1:12" x14ac:dyDescent="0.25">
      <c r="A196" t="s">
        <v>23</v>
      </c>
      <c r="B196" t="s">
        <v>21</v>
      </c>
      <c r="C196" t="s">
        <v>61</v>
      </c>
      <c r="D196" s="2">
        <v>25</v>
      </c>
      <c r="E196" s="2">
        <v>40</v>
      </c>
      <c r="F196">
        <v>10</v>
      </c>
      <c r="G196">
        <v>0</v>
      </c>
      <c r="H196">
        <f t="shared" si="9"/>
        <v>10</v>
      </c>
      <c r="I196" s="33">
        <v>44926</v>
      </c>
      <c r="J196" t="s">
        <v>38</v>
      </c>
      <c r="K196" s="2">
        <f t="shared" si="10"/>
        <v>400</v>
      </c>
      <c r="L196" s="2">
        <f t="shared" si="11"/>
        <v>150</v>
      </c>
    </row>
    <row r="197" spans="1:12" x14ac:dyDescent="0.25">
      <c r="A197" t="s">
        <v>13</v>
      </c>
      <c r="B197" t="s">
        <v>21</v>
      </c>
      <c r="C197" t="s">
        <v>62</v>
      </c>
      <c r="D197" s="2">
        <v>30</v>
      </c>
      <c r="E197" s="2">
        <v>55</v>
      </c>
      <c r="F197">
        <v>5</v>
      </c>
      <c r="G197">
        <v>3</v>
      </c>
      <c r="H197">
        <f t="shared" si="9"/>
        <v>2</v>
      </c>
      <c r="I197" s="33">
        <v>44926</v>
      </c>
      <c r="J197" t="s">
        <v>38</v>
      </c>
      <c r="K197" s="2">
        <f t="shared" si="10"/>
        <v>110</v>
      </c>
      <c r="L197" s="2">
        <f t="shared" si="11"/>
        <v>50</v>
      </c>
    </row>
    <row r="198" spans="1:12" x14ac:dyDescent="0.25">
      <c r="A198" t="s">
        <v>17</v>
      </c>
      <c r="B198" t="s">
        <v>21</v>
      </c>
      <c r="C198" t="s">
        <v>63</v>
      </c>
      <c r="D198" s="2">
        <v>40</v>
      </c>
      <c r="E198" s="2">
        <v>65</v>
      </c>
      <c r="F198">
        <v>10</v>
      </c>
      <c r="G198">
        <v>6</v>
      </c>
      <c r="H198">
        <f t="shared" si="9"/>
        <v>4</v>
      </c>
      <c r="I198" s="33">
        <v>44926</v>
      </c>
      <c r="J198" t="s">
        <v>38</v>
      </c>
      <c r="K198" s="2">
        <f t="shared" si="10"/>
        <v>260</v>
      </c>
      <c r="L198" s="2">
        <f t="shared" si="11"/>
        <v>100</v>
      </c>
    </row>
    <row r="199" spans="1:12" x14ac:dyDescent="0.25">
      <c r="A199" t="s">
        <v>34</v>
      </c>
      <c r="B199" t="s">
        <v>21</v>
      </c>
      <c r="C199" t="s">
        <v>64</v>
      </c>
      <c r="D199" s="2">
        <v>50</v>
      </c>
      <c r="E199" s="2">
        <v>70</v>
      </c>
      <c r="F199">
        <v>1</v>
      </c>
      <c r="G199">
        <v>0</v>
      </c>
      <c r="H199">
        <f t="shared" si="9"/>
        <v>1</v>
      </c>
      <c r="I199" s="33">
        <v>44926</v>
      </c>
      <c r="J199" t="s">
        <v>38</v>
      </c>
      <c r="K199" s="2">
        <f t="shared" si="10"/>
        <v>70</v>
      </c>
      <c r="L199" s="2">
        <f t="shared" si="11"/>
        <v>20</v>
      </c>
    </row>
    <row r="200" spans="1:12" x14ac:dyDescent="0.25">
      <c r="A200" t="s">
        <v>18</v>
      </c>
      <c r="B200" t="s">
        <v>21</v>
      </c>
      <c r="C200" t="s">
        <v>65</v>
      </c>
      <c r="D200" s="2">
        <v>20</v>
      </c>
      <c r="E200" s="2">
        <v>30</v>
      </c>
      <c r="F200">
        <v>1</v>
      </c>
      <c r="G200">
        <v>0</v>
      </c>
      <c r="H200">
        <f t="shared" si="9"/>
        <v>1</v>
      </c>
      <c r="I200" s="33">
        <v>44926</v>
      </c>
      <c r="J200" t="s">
        <v>38</v>
      </c>
      <c r="K200" s="2">
        <f t="shared" si="10"/>
        <v>30</v>
      </c>
      <c r="L200" s="2">
        <f t="shared" si="11"/>
        <v>10</v>
      </c>
    </row>
    <row r="201" spans="1:12" x14ac:dyDescent="0.25">
      <c r="A201" t="s">
        <v>19</v>
      </c>
      <c r="B201" t="s">
        <v>21</v>
      </c>
      <c r="C201" t="s">
        <v>66</v>
      </c>
      <c r="D201" s="2">
        <v>10</v>
      </c>
      <c r="E201" s="2">
        <v>20</v>
      </c>
      <c r="F201">
        <v>4</v>
      </c>
      <c r="G201">
        <v>4</v>
      </c>
      <c r="H201">
        <f t="shared" si="9"/>
        <v>0</v>
      </c>
      <c r="I201" s="33">
        <v>44926</v>
      </c>
      <c r="J201" t="s">
        <v>38</v>
      </c>
      <c r="K201" s="2">
        <f t="shared" si="10"/>
        <v>0</v>
      </c>
      <c r="L201" s="2">
        <f t="shared" si="11"/>
        <v>0</v>
      </c>
    </row>
    <row r="202" spans="1:12" x14ac:dyDescent="0.25">
      <c r="A202" t="s">
        <v>20</v>
      </c>
      <c r="B202" t="s">
        <v>21</v>
      </c>
      <c r="C202" t="s">
        <v>67</v>
      </c>
      <c r="D202" s="2">
        <v>60</v>
      </c>
      <c r="E202" s="2">
        <v>100</v>
      </c>
      <c r="F202">
        <v>6</v>
      </c>
      <c r="G202">
        <v>6</v>
      </c>
      <c r="H202">
        <f t="shared" si="9"/>
        <v>0</v>
      </c>
      <c r="I202" s="33">
        <v>44926</v>
      </c>
      <c r="J202" t="s">
        <v>38</v>
      </c>
      <c r="K202" s="2">
        <f t="shared" si="10"/>
        <v>0</v>
      </c>
      <c r="L202" s="2">
        <f t="shared" si="11"/>
        <v>0</v>
      </c>
    </row>
    <row r="203" spans="1:12" x14ac:dyDescent="0.25">
      <c r="A203" t="s">
        <v>22</v>
      </c>
      <c r="B203" t="s">
        <v>24</v>
      </c>
      <c r="C203" t="s">
        <v>68</v>
      </c>
      <c r="D203" s="2">
        <v>50</v>
      </c>
      <c r="E203" s="2">
        <v>70</v>
      </c>
      <c r="F203">
        <v>5</v>
      </c>
      <c r="G203">
        <v>0</v>
      </c>
      <c r="H203">
        <f t="shared" si="9"/>
        <v>5</v>
      </c>
      <c r="I203" s="33">
        <v>44926</v>
      </c>
      <c r="J203" t="s">
        <v>38</v>
      </c>
      <c r="K203" s="2">
        <f t="shared" si="10"/>
        <v>350</v>
      </c>
      <c r="L203" s="2">
        <f t="shared" si="11"/>
        <v>100</v>
      </c>
    </row>
    <row r="204" spans="1:12" x14ac:dyDescent="0.25">
      <c r="A204" t="s">
        <v>25</v>
      </c>
      <c r="B204" t="s">
        <v>24</v>
      </c>
      <c r="C204" t="s">
        <v>69</v>
      </c>
      <c r="D204" s="2">
        <v>45</v>
      </c>
      <c r="E204" s="2">
        <v>65</v>
      </c>
      <c r="F204">
        <v>4</v>
      </c>
      <c r="G204">
        <v>4</v>
      </c>
      <c r="H204">
        <f t="shared" si="9"/>
        <v>0</v>
      </c>
      <c r="I204" s="33">
        <v>44926</v>
      </c>
      <c r="J204" t="s">
        <v>38</v>
      </c>
      <c r="K204" s="2">
        <f t="shared" si="10"/>
        <v>0</v>
      </c>
      <c r="L204" s="2">
        <f t="shared" si="11"/>
        <v>0</v>
      </c>
    </row>
    <row r="205" spans="1:12" x14ac:dyDescent="0.25">
      <c r="A205" t="s">
        <v>26</v>
      </c>
      <c r="B205" t="s">
        <v>24</v>
      </c>
      <c r="C205" t="s">
        <v>70</v>
      </c>
      <c r="D205" s="2">
        <v>50</v>
      </c>
      <c r="E205" s="2">
        <v>70</v>
      </c>
      <c r="F205">
        <v>3</v>
      </c>
      <c r="G205">
        <v>3</v>
      </c>
      <c r="H205">
        <f t="shared" si="9"/>
        <v>0</v>
      </c>
      <c r="I205" s="33">
        <v>44926</v>
      </c>
      <c r="J205" t="s">
        <v>38</v>
      </c>
      <c r="K205" s="2">
        <f t="shared" si="10"/>
        <v>0</v>
      </c>
      <c r="L205" s="2">
        <f t="shared" si="11"/>
        <v>0</v>
      </c>
    </row>
    <row r="206" spans="1:12" x14ac:dyDescent="0.25">
      <c r="A206" t="s">
        <v>27</v>
      </c>
      <c r="B206" t="s">
        <v>24</v>
      </c>
      <c r="C206" t="s">
        <v>71</v>
      </c>
      <c r="D206" s="2">
        <v>10</v>
      </c>
      <c r="E206" s="2">
        <v>15</v>
      </c>
      <c r="F206">
        <v>20</v>
      </c>
      <c r="G206">
        <v>3</v>
      </c>
      <c r="H206">
        <f t="shared" si="9"/>
        <v>17</v>
      </c>
      <c r="I206" s="33">
        <v>44926</v>
      </c>
      <c r="J206" t="s">
        <v>38</v>
      </c>
      <c r="K206" s="2">
        <f t="shared" si="10"/>
        <v>255</v>
      </c>
      <c r="L206" s="2">
        <f t="shared" si="11"/>
        <v>85</v>
      </c>
    </row>
    <row r="207" spans="1:12" x14ac:dyDescent="0.25">
      <c r="A207" t="s">
        <v>28</v>
      </c>
      <c r="B207" t="s">
        <v>24</v>
      </c>
      <c r="C207" t="s">
        <v>72</v>
      </c>
      <c r="D207" s="2">
        <v>20</v>
      </c>
      <c r="E207" s="2">
        <v>25</v>
      </c>
      <c r="F207">
        <v>22</v>
      </c>
      <c r="G207">
        <v>2</v>
      </c>
      <c r="H207">
        <f t="shared" si="9"/>
        <v>20</v>
      </c>
      <c r="I207" s="33">
        <v>44926</v>
      </c>
      <c r="J207" t="s">
        <v>38</v>
      </c>
      <c r="K207" s="2">
        <f t="shared" si="10"/>
        <v>500</v>
      </c>
      <c r="L207" s="2">
        <f t="shared" si="11"/>
        <v>100</v>
      </c>
    </row>
    <row r="208" spans="1:12" x14ac:dyDescent="0.25">
      <c r="A208" t="s">
        <v>29</v>
      </c>
      <c r="B208" t="s">
        <v>30</v>
      </c>
      <c r="C208" t="s">
        <v>73</v>
      </c>
      <c r="D208" s="2">
        <v>25</v>
      </c>
      <c r="E208" s="2">
        <v>30</v>
      </c>
      <c r="F208">
        <v>35</v>
      </c>
      <c r="G208">
        <v>18</v>
      </c>
      <c r="H208">
        <f t="shared" si="9"/>
        <v>17</v>
      </c>
      <c r="I208" s="33">
        <v>44926</v>
      </c>
      <c r="J208" t="s">
        <v>38</v>
      </c>
      <c r="K208" s="2">
        <f t="shared" si="10"/>
        <v>510</v>
      </c>
      <c r="L208" s="2">
        <f t="shared" si="11"/>
        <v>85</v>
      </c>
    </row>
    <row r="209" spans="1:12" x14ac:dyDescent="0.25">
      <c r="A209" t="s">
        <v>31</v>
      </c>
      <c r="B209" t="s">
        <v>30</v>
      </c>
      <c r="C209" t="s">
        <v>74</v>
      </c>
      <c r="D209" s="2">
        <v>25</v>
      </c>
      <c r="E209" s="2">
        <v>30</v>
      </c>
      <c r="F209">
        <v>17</v>
      </c>
      <c r="G209">
        <v>10</v>
      </c>
      <c r="H209">
        <f t="shared" si="9"/>
        <v>7</v>
      </c>
      <c r="I209" s="33">
        <v>44926</v>
      </c>
      <c r="J209" t="s">
        <v>38</v>
      </c>
      <c r="K209" s="2">
        <f t="shared" si="10"/>
        <v>210</v>
      </c>
      <c r="L209" s="2">
        <f t="shared" si="11"/>
        <v>35</v>
      </c>
    </row>
    <row r="210" spans="1:12" x14ac:dyDescent="0.25">
      <c r="A210" t="s">
        <v>32</v>
      </c>
      <c r="B210" t="s">
        <v>30</v>
      </c>
      <c r="C210" t="s">
        <v>75</v>
      </c>
      <c r="D210" s="2">
        <v>25</v>
      </c>
      <c r="E210" s="2">
        <v>30</v>
      </c>
      <c r="F210">
        <v>25</v>
      </c>
      <c r="G210">
        <v>11</v>
      </c>
      <c r="H210">
        <f t="shared" si="9"/>
        <v>14</v>
      </c>
      <c r="I210" s="33">
        <v>44926</v>
      </c>
      <c r="J210" t="s">
        <v>38</v>
      </c>
      <c r="K210" s="2">
        <f t="shared" si="10"/>
        <v>420</v>
      </c>
      <c r="L210" s="2">
        <f t="shared" si="11"/>
        <v>70</v>
      </c>
    </row>
    <row r="211" spans="1:12" x14ac:dyDescent="0.25">
      <c r="A211" t="s">
        <v>33</v>
      </c>
      <c r="B211" t="s">
        <v>30</v>
      </c>
      <c r="C211" t="s">
        <v>76</v>
      </c>
      <c r="D211" s="2">
        <v>30</v>
      </c>
      <c r="E211" s="2">
        <v>35</v>
      </c>
      <c r="F211">
        <v>13</v>
      </c>
      <c r="G211">
        <v>7</v>
      </c>
      <c r="H211">
        <f t="shared" si="9"/>
        <v>6</v>
      </c>
      <c r="I211" s="33">
        <v>44926</v>
      </c>
      <c r="J211" t="s">
        <v>38</v>
      </c>
      <c r="K211" s="2">
        <f t="shared" si="10"/>
        <v>210</v>
      </c>
      <c r="L211" s="2">
        <f t="shared" si="11"/>
        <v>30</v>
      </c>
    </row>
    <row r="212" spans="1:12" x14ac:dyDescent="0.25">
      <c r="A212" t="s">
        <v>2</v>
      </c>
      <c r="B212" t="s">
        <v>3</v>
      </c>
      <c r="C212" t="s">
        <v>48</v>
      </c>
      <c r="D212" s="2">
        <v>100</v>
      </c>
      <c r="E212" s="2">
        <v>200</v>
      </c>
      <c r="F212">
        <v>5</v>
      </c>
      <c r="G212">
        <v>0</v>
      </c>
      <c r="H212">
        <f t="shared" si="9"/>
        <v>5</v>
      </c>
      <c r="I212" s="33">
        <v>44927</v>
      </c>
      <c r="J212" t="s">
        <v>6</v>
      </c>
      <c r="K212" s="2">
        <f t="shared" si="10"/>
        <v>1000</v>
      </c>
      <c r="L212" s="2">
        <f t="shared" si="11"/>
        <v>500</v>
      </c>
    </row>
    <row r="213" spans="1:12" x14ac:dyDescent="0.25">
      <c r="A213" t="s">
        <v>7</v>
      </c>
      <c r="B213" t="s">
        <v>3</v>
      </c>
      <c r="C213" t="s">
        <v>77</v>
      </c>
      <c r="D213" s="2">
        <v>200</v>
      </c>
      <c r="E213" s="2">
        <v>300</v>
      </c>
      <c r="F213">
        <v>2</v>
      </c>
      <c r="G213">
        <v>0</v>
      </c>
      <c r="H213">
        <f t="shared" si="9"/>
        <v>2</v>
      </c>
      <c r="I213" s="33">
        <v>44927</v>
      </c>
      <c r="J213" t="s">
        <v>6</v>
      </c>
      <c r="K213" s="2">
        <f t="shared" si="10"/>
        <v>600</v>
      </c>
      <c r="L213" s="2">
        <f t="shared" si="11"/>
        <v>200</v>
      </c>
    </row>
    <row r="214" spans="1:12" x14ac:dyDescent="0.25">
      <c r="A214" t="s">
        <v>23</v>
      </c>
      <c r="B214" t="s">
        <v>3</v>
      </c>
      <c r="C214" t="s">
        <v>52</v>
      </c>
      <c r="D214" s="2">
        <v>150</v>
      </c>
      <c r="E214" s="2">
        <v>250</v>
      </c>
      <c r="F214">
        <v>3</v>
      </c>
      <c r="G214">
        <v>0</v>
      </c>
      <c r="H214">
        <f t="shared" si="9"/>
        <v>3</v>
      </c>
      <c r="I214" s="33">
        <v>44927</v>
      </c>
      <c r="J214" t="s">
        <v>6</v>
      </c>
      <c r="K214" s="2">
        <f t="shared" si="10"/>
        <v>750</v>
      </c>
      <c r="L214" s="2">
        <f t="shared" si="11"/>
        <v>300</v>
      </c>
    </row>
    <row r="215" spans="1:12" x14ac:dyDescent="0.25">
      <c r="A215" t="s">
        <v>9</v>
      </c>
      <c r="B215" t="s">
        <v>3</v>
      </c>
      <c r="C215" t="s">
        <v>53</v>
      </c>
      <c r="D215" s="2">
        <v>100</v>
      </c>
      <c r="E215" s="2">
        <v>200</v>
      </c>
      <c r="F215">
        <v>8</v>
      </c>
      <c r="G215">
        <v>0</v>
      </c>
      <c r="H215">
        <f t="shared" si="9"/>
        <v>8</v>
      </c>
      <c r="I215" s="33">
        <v>44927</v>
      </c>
      <c r="J215" t="s">
        <v>6</v>
      </c>
      <c r="K215" s="2">
        <f t="shared" si="10"/>
        <v>1600</v>
      </c>
      <c r="L215" s="2">
        <f t="shared" si="11"/>
        <v>800</v>
      </c>
    </row>
    <row r="216" spans="1:12" x14ac:dyDescent="0.25">
      <c r="A216" t="s">
        <v>2</v>
      </c>
      <c r="B216" t="s">
        <v>12</v>
      </c>
      <c r="C216" t="s">
        <v>49</v>
      </c>
      <c r="D216" s="2">
        <v>250</v>
      </c>
      <c r="E216" s="2">
        <v>350</v>
      </c>
      <c r="F216">
        <v>4</v>
      </c>
      <c r="G216">
        <v>1</v>
      </c>
      <c r="H216">
        <f t="shared" si="9"/>
        <v>3</v>
      </c>
      <c r="I216" s="33">
        <v>44927</v>
      </c>
      <c r="J216" t="s">
        <v>6</v>
      </c>
      <c r="K216" s="2">
        <f t="shared" si="10"/>
        <v>1050</v>
      </c>
      <c r="L216" s="2">
        <f t="shared" si="11"/>
        <v>300</v>
      </c>
    </row>
    <row r="217" spans="1:12" x14ac:dyDescent="0.25">
      <c r="A217" t="s">
        <v>7</v>
      </c>
      <c r="B217" t="s">
        <v>12</v>
      </c>
      <c r="C217" t="s">
        <v>54</v>
      </c>
      <c r="D217" s="2">
        <v>300</v>
      </c>
      <c r="E217" s="2">
        <v>400</v>
      </c>
      <c r="F217">
        <v>1</v>
      </c>
      <c r="G217">
        <v>0</v>
      </c>
      <c r="H217">
        <f t="shared" si="9"/>
        <v>1</v>
      </c>
      <c r="I217" s="33">
        <v>44927</v>
      </c>
      <c r="J217" t="s">
        <v>6</v>
      </c>
      <c r="K217" s="2">
        <f t="shared" si="10"/>
        <v>400</v>
      </c>
      <c r="L217" s="2">
        <f t="shared" si="11"/>
        <v>100</v>
      </c>
    </row>
    <row r="218" spans="1:12" x14ac:dyDescent="0.25">
      <c r="A218" t="s">
        <v>8</v>
      </c>
      <c r="B218" t="s">
        <v>12</v>
      </c>
      <c r="C218" t="s">
        <v>55</v>
      </c>
      <c r="D218" s="2">
        <v>250</v>
      </c>
      <c r="E218" s="2">
        <v>350</v>
      </c>
      <c r="F218">
        <v>1</v>
      </c>
      <c r="G218">
        <v>1</v>
      </c>
      <c r="H218">
        <f t="shared" si="9"/>
        <v>0</v>
      </c>
      <c r="I218" s="33">
        <v>44927</v>
      </c>
      <c r="J218" t="s">
        <v>6</v>
      </c>
      <c r="K218" s="2">
        <f t="shared" si="10"/>
        <v>0</v>
      </c>
      <c r="L218" s="2">
        <f t="shared" si="11"/>
        <v>0</v>
      </c>
    </row>
    <row r="219" spans="1:12" x14ac:dyDescent="0.25">
      <c r="A219" t="s">
        <v>9</v>
      </c>
      <c r="B219" t="s">
        <v>12</v>
      </c>
      <c r="C219" t="s">
        <v>56</v>
      </c>
      <c r="D219" s="2">
        <v>250</v>
      </c>
      <c r="E219" s="2">
        <v>350</v>
      </c>
      <c r="F219">
        <v>2</v>
      </c>
      <c r="G219">
        <v>0</v>
      </c>
      <c r="H219">
        <f t="shared" si="9"/>
        <v>2</v>
      </c>
      <c r="I219" s="33">
        <v>44927</v>
      </c>
      <c r="J219" t="s">
        <v>6</v>
      </c>
      <c r="K219" s="2">
        <f t="shared" si="10"/>
        <v>700</v>
      </c>
      <c r="L219" s="2">
        <f t="shared" si="11"/>
        <v>200</v>
      </c>
    </row>
    <row r="220" spans="1:12" x14ac:dyDescent="0.25">
      <c r="A220" t="s">
        <v>13</v>
      </c>
      <c r="B220" t="s">
        <v>12</v>
      </c>
      <c r="C220" t="s">
        <v>57</v>
      </c>
      <c r="D220" s="2">
        <v>300</v>
      </c>
      <c r="E220" s="2">
        <v>450</v>
      </c>
      <c r="F220">
        <v>3</v>
      </c>
      <c r="G220">
        <v>1</v>
      </c>
      <c r="H220">
        <f t="shared" si="9"/>
        <v>2</v>
      </c>
      <c r="I220" s="33">
        <v>44927</v>
      </c>
      <c r="J220" t="s">
        <v>6</v>
      </c>
      <c r="K220" s="2">
        <f t="shared" si="10"/>
        <v>900</v>
      </c>
      <c r="L220" s="2">
        <f t="shared" si="11"/>
        <v>300</v>
      </c>
    </row>
    <row r="221" spans="1:12" x14ac:dyDescent="0.25">
      <c r="A221" t="s">
        <v>14</v>
      </c>
      <c r="B221" t="s">
        <v>16</v>
      </c>
      <c r="C221" t="s">
        <v>50</v>
      </c>
      <c r="D221" s="2">
        <v>320</v>
      </c>
      <c r="E221" s="2">
        <v>400</v>
      </c>
      <c r="F221">
        <v>0</v>
      </c>
      <c r="G221">
        <v>0</v>
      </c>
      <c r="H221">
        <f t="shared" si="9"/>
        <v>0</v>
      </c>
      <c r="I221" s="33">
        <v>44927</v>
      </c>
      <c r="J221" t="s">
        <v>6</v>
      </c>
      <c r="K221" s="2">
        <f t="shared" si="10"/>
        <v>0</v>
      </c>
      <c r="L221" s="2">
        <f t="shared" si="11"/>
        <v>0</v>
      </c>
    </row>
    <row r="222" spans="1:12" x14ac:dyDescent="0.25">
      <c r="A222" t="s">
        <v>15</v>
      </c>
      <c r="B222" t="s">
        <v>16</v>
      </c>
      <c r="C222" t="s">
        <v>58</v>
      </c>
      <c r="D222" s="2">
        <v>100</v>
      </c>
      <c r="E222" s="2">
        <v>150</v>
      </c>
      <c r="F222">
        <v>3</v>
      </c>
      <c r="G222">
        <v>2</v>
      </c>
      <c r="H222">
        <f t="shared" si="9"/>
        <v>1</v>
      </c>
      <c r="I222" s="33">
        <v>44927</v>
      </c>
      <c r="J222" t="s">
        <v>6</v>
      </c>
      <c r="K222" s="2">
        <f t="shared" si="10"/>
        <v>150</v>
      </c>
      <c r="L222" s="2">
        <f t="shared" si="11"/>
        <v>50</v>
      </c>
    </row>
    <row r="223" spans="1:12" x14ac:dyDescent="0.25">
      <c r="A223" t="s">
        <v>2</v>
      </c>
      <c r="B223" t="s">
        <v>21</v>
      </c>
      <c r="C223" t="s">
        <v>51</v>
      </c>
      <c r="D223" s="2">
        <v>25</v>
      </c>
      <c r="E223" s="2">
        <v>40</v>
      </c>
      <c r="F223">
        <v>0</v>
      </c>
      <c r="G223">
        <v>0</v>
      </c>
      <c r="H223">
        <f t="shared" si="9"/>
        <v>0</v>
      </c>
      <c r="I223" s="33">
        <v>44927</v>
      </c>
      <c r="J223" t="s">
        <v>6</v>
      </c>
      <c r="K223" s="2">
        <f t="shared" si="10"/>
        <v>0</v>
      </c>
      <c r="L223" s="2">
        <f t="shared" si="11"/>
        <v>0</v>
      </c>
    </row>
    <row r="224" spans="1:12" x14ac:dyDescent="0.25">
      <c r="A224" t="s">
        <v>7</v>
      </c>
      <c r="B224" t="s">
        <v>21</v>
      </c>
      <c r="C224" t="s">
        <v>59</v>
      </c>
      <c r="D224" s="2">
        <v>30</v>
      </c>
      <c r="E224" s="2">
        <v>50</v>
      </c>
      <c r="F224">
        <v>4</v>
      </c>
      <c r="G224">
        <v>4</v>
      </c>
      <c r="H224">
        <f t="shared" si="9"/>
        <v>0</v>
      </c>
      <c r="I224" s="33">
        <v>44927</v>
      </c>
      <c r="J224" t="s">
        <v>6</v>
      </c>
      <c r="K224" s="2">
        <f t="shared" si="10"/>
        <v>0</v>
      </c>
      <c r="L224" s="2">
        <f t="shared" si="11"/>
        <v>0</v>
      </c>
    </row>
    <row r="225" spans="1:12" x14ac:dyDescent="0.25">
      <c r="A225" t="s">
        <v>9</v>
      </c>
      <c r="B225" t="s">
        <v>21</v>
      </c>
      <c r="C225" t="s">
        <v>60</v>
      </c>
      <c r="D225" s="2">
        <v>25</v>
      </c>
      <c r="E225" s="2">
        <v>40</v>
      </c>
      <c r="F225">
        <v>0</v>
      </c>
      <c r="G225">
        <v>0</v>
      </c>
      <c r="H225">
        <f t="shared" si="9"/>
        <v>0</v>
      </c>
      <c r="I225" s="33">
        <v>44927</v>
      </c>
      <c r="J225" t="s">
        <v>6</v>
      </c>
      <c r="K225" s="2">
        <f t="shared" si="10"/>
        <v>0</v>
      </c>
      <c r="L225" s="2">
        <f t="shared" si="11"/>
        <v>0</v>
      </c>
    </row>
    <row r="226" spans="1:12" x14ac:dyDescent="0.25">
      <c r="A226" t="s">
        <v>23</v>
      </c>
      <c r="B226" t="s">
        <v>21</v>
      </c>
      <c r="C226" t="s">
        <v>61</v>
      </c>
      <c r="D226" s="2">
        <v>25</v>
      </c>
      <c r="E226" s="2">
        <v>40</v>
      </c>
      <c r="F226">
        <v>0</v>
      </c>
      <c r="G226">
        <v>0</v>
      </c>
      <c r="H226">
        <f t="shared" si="9"/>
        <v>0</v>
      </c>
      <c r="I226" s="33">
        <v>44927</v>
      </c>
      <c r="J226" t="s">
        <v>6</v>
      </c>
      <c r="K226" s="2">
        <f t="shared" si="10"/>
        <v>0</v>
      </c>
      <c r="L226" s="2">
        <f t="shared" si="11"/>
        <v>0</v>
      </c>
    </row>
    <row r="227" spans="1:12" x14ac:dyDescent="0.25">
      <c r="A227" t="s">
        <v>13</v>
      </c>
      <c r="B227" t="s">
        <v>21</v>
      </c>
      <c r="C227" t="s">
        <v>62</v>
      </c>
      <c r="D227" s="2">
        <v>30</v>
      </c>
      <c r="E227" s="2">
        <v>55</v>
      </c>
      <c r="F227">
        <v>3</v>
      </c>
      <c r="G227">
        <v>3</v>
      </c>
      <c r="H227">
        <f t="shared" si="9"/>
        <v>0</v>
      </c>
      <c r="I227" s="33">
        <v>44927</v>
      </c>
      <c r="J227" t="s">
        <v>6</v>
      </c>
      <c r="K227" s="2">
        <f t="shared" si="10"/>
        <v>0</v>
      </c>
      <c r="L227" s="2">
        <f t="shared" si="11"/>
        <v>0</v>
      </c>
    </row>
    <row r="228" spans="1:12" x14ac:dyDescent="0.25">
      <c r="A228" t="s">
        <v>17</v>
      </c>
      <c r="B228" t="s">
        <v>21</v>
      </c>
      <c r="C228" t="s">
        <v>63</v>
      </c>
      <c r="D228" s="2">
        <v>40</v>
      </c>
      <c r="E228" s="2">
        <v>65</v>
      </c>
      <c r="F228">
        <v>6</v>
      </c>
      <c r="G228">
        <v>6</v>
      </c>
      <c r="H228">
        <f t="shared" si="9"/>
        <v>0</v>
      </c>
      <c r="I228" s="33">
        <v>44927</v>
      </c>
      <c r="J228" t="s">
        <v>6</v>
      </c>
      <c r="K228" s="2">
        <f t="shared" si="10"/>
        <v>0</v>
      </c>
      <c r="L228" s="2">
        <f t="shared" si="11"/>
        <v>0</v>
      </c>
    </row>
    <row r="229" spans="1:12" x14ac:dyDescent="0.25">
      <c r="A229" t="s">
        <v>34</v>
      </c>
      <c r="B229" t="s">
        <v>21</v>
      </c>
      <c r="C229" t="s">
        <v>64</v>
      </c>
      <c r="D229" s="2">
        <v>50</v>
      </c>
      <c r="E229" s="2">
        <v>70</v>
      </c>
      <c r="F229">
        <v>0</v>
      </c>
      <c r="G229">
        <v>0</v>
      </c>
      <c r="H229">
        <f t="shared" si="9"/>
        <v>0</v>
      </c>
      <c r="I229" s="33">
        <v>44927</v>
      </c>
      <c r="J229" t="s">
        <v>6</v>
      </c>
      <c r="K229" s="2">
        <f t="shared" si="10"/>
        <v>0</v>
      </c>
      <c r="L229" s="2">
        <f t="shared" si="11"/>
        <v>0</v>
      </c>
    </row>
    <row r="230" spans="1:12" x14ac:dyDescent="0.25">
      <c r="A230" t="s">
        <v>18</v>
      </c>
      <c r="B230" t="s">
        <v>21</v>
      </c>
      <c r="C230" t="s">
        <v>65</v>
      </c>
      <c r="D230" s="2">
        <v>20</v>
      </c>
      <c r="E230" s="2">
        <v>30</v>
      </c>
      <c r="F230">
        <v>0</v>
      </c>
      <c r="G230">
        <v>0</v>
      </c>
      <c r="H230">
        <f t="shared" si="9"/>
        <v>0</v>
      </c>
      <c r="I230" s="33">
        <v>44927</v>
      </c>
      <c r="J230" t="s">
        <v>6</v>
      </c>
      <c r="K230" s="2">
        <f t="shared" si="10"/>
        <v>0</v>
      </c>
      <c r="L230" s="2">
        <f t="shared" si="11"/>
        <v>0</v>
      </c>
    </row>
    <row r="231" spans="1:12" x14ac:dyDescent="0.25">
      <c r="A231" t="s">
        <v>19</v>
      </c>
      <c r="B231" t="s">
        <v>21</v>
      </c>
      <c r="C231" t="s">
        <v>66</v>
      </c>
      <c r="D231" s="2">
        <v>10</v>
      </c>
      <c r="E231" s="2">
        <v>20</v>
      </c>
      <c r="F231">
        <v>4</v>
      </c>
      <c r="G231">
        <v>4</v>
      </c>
      <c r="H231">
        <f t="shared" si="9"/>
        <v>0</v>
      </c>
      <c r="I231" s="33">
        <v>44927</v>
      </c>
      <c r="J231" t="s">
        <v>6</v>
      </c>
      <c r="K231" s="2">
        <f t="shared" si="10"/>
        <v>0</v>
      </c>
      <c r="L231" s="2">
        <f t="shared" si="11"/>
        <v>0</v>
      </c>
    </row>
    <row r="232" spans="1:12" x14ac:dyDescent="0.25">
      <c r="A232" t="s">
        <v>20</v>
      </c>
      <c r="B232" t="s">
        <v>21</v>
      </c>
      <c r="C232" t="s">
        <v>67</v>
      </c>
      <c r="D232" s="2">
        <v>60</v>
      </c>
      <c r="E232" s="2">
        <v>100</v>
      </c>
      <c r="F232">
        <v>6</v>
      </c>
      <c r="G232">
        <v>6</v>
      </c>
      <c r="H232">
        <f t="shared" si="9"/>
        <v>0</v>
      </c>
      <c r="I232" s="33">
        <v>44927</v>
      </c>
      <c r="J232" t="s">
        <v>6</v>
      </c>
      <c r="K232" s="2">
        <f t="shared" si="10"/>
        <v>0</v>
      </c>
      <c r="L232" s="2">
        <f t="shared" si="11"/>
        <v>0</v>
      </c>
    </row>
    <row r="233" spans="1:12" x14ac:dyDescent="0.25">
      <c r="A233" t="s">
        <v>22</v>
      </c>
      <c r="B233" t="s">
        <v>24</v>
      </c>
      <c r="C233" t="s">
        <v>68</v>
      </c>
      <c r="D233" s="2">
        <v>50</v>
      </c>
      <c r="E233" s="2">
        <v>70</v>
      </c>
      <c r="F233">
        <v>0</v>
      </c>
      <c r="G233">
        <v>0</v>
      </c>
      <c r="H233">
        <f t="shared" si="9"/>
        <v>0</v>
      </c>
      <c r="I233" s="33">
        <v>44927</v>
      </c>
      <c r="J233" t="s">
        <v>6</v>
      </c>
      <c r="K233" s="2">
        <f t="shared" si="10"/>
        <v>0</v>
      </c>
      <c r="L233" s="2">
        <f t="shared" si="11"/>
        <v>0</v>
      </c>
    </row>
    <row r="234" spans="1:12" x14ac:dyDescent="0.25">
      <c r="A234" t="s">
        <v>25</v>
      </c>
      <c r="B234" t="s">
        <v>24</v>
      </c>
      <c r="C234" t="s">
        <v>69</v>
      </c>
      <c r="D234" s="2">
        <v>45</v>
      </c>
      <c r="E234" s="2">
        <v>65</v>
      </c>
      <c r="F234">
        <v>4</v>
      </c>
      <c r="G234">
        <v>4</v>
      </c>
      <c r="H234">
        <f t="shared" si="9"/>
        <v>0</v>
      </c>
      <c r="I234" s="33">
        <v>44927</v>
      </c>
      <c r="J234" t="s">
        <v>6</v>
      </c>
      <c r="K234" s="2">
        <f t="shared" si="10"/>
        <v>0</v>
      </c>
      <c r="L234" s="2">
        <f t="shared" si="11"/>
        <v>0</v>
      </c>
    </row>
    <row r="235" spans="1:12" x14ac:dyDescent="0.25">
      <c r="A235" t="s">
        <v>26</v>
      </c>
      <c r="B235" t="s">
        <v>24</v>
      </c>
      <c r="C235" t="s">
        <v>70</v>
      </c>
      <c r="D235" s="2">
        <v>50</v>
      </c>
      <c r="E235" s="2">
        <v>70</v>
      </c>
      <c r="F235">
        <v>3</v>
      </c>
      <c r="G235">
        <v>3</v>
      </c>
      <c r="H235">
        <f t="shared" si="9"/>
        <v>0</v>
      </c>
      <c r="I235" s="33">
        <v>44927</v>
      </c>
      <c r="J235" t="s">
        <v>6</v>
      </c>
      <c r="K235" s="2">
        <f t="shared" si="10"/>
        <v>0</v>
      </c>
      <c r="L235" s="2">
        <f t="shared" si="11"/>
        <v>0</v>
      </c>
    </row>
    <row r="236" spans="1:12" x14ac:dyDescent="0.25">
      <c r="A236" t="s">
        <v>27</v>
      </c>
      <c r="B236" t="s">
        <v>24</v>
      </c>
      <c r="C236" t="s">
        <v>71</v>
      </c>
      <c r="D236" s="2">
        <v>10</v>
      </c>
      <c r="E236" s="2">
        <v>15</v>
      </c>
      <c r="F236">
        <v>3</v>
      </c>
      <c r="G236">
        <v>0</v>
      </c>
      <c r="H236">
        <f t="shared" si="9"/>
        <v>3</v>
      </c>
      <c r="I236" s="33">
        <v>44927</v>
      </c>
      <c r="J236" t="s">
        <v>6</v>
      </c>
      <c r="K236" s="2">
        <f t="shared" si="10"/>
        <v>45</v>
      </c>
      <c r="L236" s="2">
        <f t="shared" si="11"/>
        <v>15</v>
      </c>
    </row>
    <row r="237" spans="1:12" x14ac:dyDescent="0.25">
      <c r="A237" t="s">
        <v>28</v>
      </c>
      <c r="B237" t="s">
        <v>24</v>
      </c>
      <c r="C237" t="s">
        <v>72</v>
      </c>
      <c r="D237" s="2">
        <v>20</v>
      </c>
      <c r="E237" s="2">
        <v>25</v>
      </c>
      <c r="F237">
        <v>2</v>
      </c>
      <c r="G237">
        <v>0</v>
      </c>
      <c r="H237">
        <f t="shared" si="9"/>
        <v>2</v>
      </c>
      <c r="I237" s="33">
        <v>44927</v>
      </c>
      <c r="J237" t="s">
        <v>6</v>
      </c>
      <c r="K237" s="2">
        <f t="shared" si="10"/>
        <v>50</v>
      </c>
      <c r="L237" s="2">
        <f t="shared" si="11"/>
        <v>10</v>
      </c>
    </row>
    <row r="238" spans="1:12" x14ac:dyDescent="0.25">
      <c r="A238" t="s">
        <v>29</v>
      </c>
      <c r="B238" t="s">
        <v>30</v>
      </c>
      <c r="C238" t="s">
        <v>73</v>
      </c>
      <c r="D238" s="2">
        <v>25</v>
      </c>
      <c r="E238" s="2">
        <v>30</v>
      </c>
      <c r="F238">
        <v>18</v>
      </c>
      <c r="G238">
        <v>16</v>
      </c>
      <c r="H238">
        <f t="shared" si="9"/>
        <v>2</v>
      </c>
      <c r="I238" s="33">
        <v>44927</v>
      </c>
      <c r="J238" t="s">
        <v>6</v>
      </c>
      <c r="K238" s="2">
        <f t="shared" si="10"/>
        <v>60</v>
      </c>
      <c r="L238" s="2">
        <f t="shared" si="11"/>
        <v>10</v>
      </c>
    </row>
    <row r="239" spans="1:12" x14ac:dyDescent="0.25">
      <c r="A239" t="s">
        <v>31</v>
      </c>
      <c r="B239" t="s">
        <v>30</v>
      </c>
      <c r="C239" t="s">
        <v>74</v>
      </c>
      <c r="D239" s="2">
        <v>25</v>
      </c>
      <c r="E239" s="2">
        <v>30</v>
      </c>
      <c r="F239">
        <v>10</v>
      </c>
      <c r="G239">
        <v>10</v>
      </c>
      <c r="H239">
        <f t="shared" si="9"/>
        <v>0</v>
      </c>
      <c r="I239" s="33">
        <v>44927</v>
      </c>
      <c r="J239" t="s">
        <v>6</v>
      </c>
      <c r="K239" s="2">
        <f t="shared" si="10"/>
        <v>0</v>
      </c>
      <c r="L239" s="2">
        <f t="shared" si="11"/>
        <v>0</v>
      </c>
    </row>
    <row r="240" spans="1:12" x14ac:dyDescent="0.25">
      <c r="A240" t="s">
        <v>32</v>
      </c>
      <c r="B240" t="s">
        <v>30</v>
      </c>
      <c r="C240" t="s">
        <v>75</v>
      </c>
      <c r="D240" s="2">
        <v>25</v>
      </c>
      <c r="E240" s="2">
        <v>30</v>
      </c>
      <c r="F240">
        <v>11</v>
      </c>
      <c r="G240">
        <v>10</v>
      </c>
      <c r="H240">
        <f t="shared" si="9"/>
        <v>1</v>
      </c>
      <c r="I240" s="33">
        <v>44927</v>
      </c>
      <c r="J240" t="s">
        <v>6</v>
      </c>
      <c r="K240" s="2">
        <f t="shared" si="10"/>
        <v>30</v>
      </c>
      <c r="L240" s="2">
        <f t="shared" si="11"/>
        <v>5</v>
      </c>
    </row>
    <row r="241" spans="1:12" x14ac:dyDescent="0.25">
      <c r="A241" t="s">
        <v>33</v>
      </c>
      <c r="B241" t="s">
        <v>30</v>
      </c>
      <c r="C241" t="s">
        <v>76</v>
      </c>
      <c r="D241" s="2">
        <v>30</v>
      </c>
      <c r="E241" s="2">
        <v>35</v>
      </c>
      <c r="F241">
        <v>7</v>
      </c>
      <c r="G241">
        <v>5</v>
      </c>
      <c r="H241">
        <f t="shared" si="9"/>
        <v>2</v>
      </c>
      <c r="I241" s="33">
        <v>44927</v>
      </c>
      <c r="J241" t="s">
        <v>6</v>
      </c>
      <c r="K241" s="2">
        <f t="shared" si="10"/>
        <v>70</v>
      </c>
      <c r="L241" s="2">
        <f t="shared" si="11"/>
        <v>10</v>
      </c>
    </row>
    <row r="242" spans="1:12" x14ac:dyDescent="0.25">
      <c r="A242" t="s">
        <v>2</v>
      </c>
      <c r="B242" t="s">
        <v>3</v>
      </c>
      <c r="C242" t="s">
        <v>48</v>
      </c>
      <c r="D242" s="2">
        <v>100</v>
      </c>
      <c r="E242" s="2">
        <v>200</v>
      </c>
      <c r="F242">
        <v>3</v>
      </c>
      <c r="G242">
        <v>3</v>
      </c>
      <c r="H242">
        <f t="shared" si="9"/>
        <v>0</v>
      </c>
      <c r="I242" s="33">
        <v>44928</v>
      </c>
      <c r="J242" t="s">
        <v>10</v>
      </c>
      <c r="K242" s="2">
        <f t="shared" si="10"/>
        <v>0</v>
      </c>
      <c r="L242" s="2">
        <f t="shared" si="11"/>
        <v>0</v>
      </c>
    </row>
    <row r="243" spans="1:12" x14ac:dyDescent="0.25">
      <c r="A243" t="s">
        <v>7</v>
      </c>
      <c r="B243" t="s">
        <v>3</v>
      </c>
      <c r="C243" t="s">
        <v>77</v>
      </c>
      <c r="D243" s="2">
        <v>200</v>
      </c>
      <c r="E243" s="2">
        <v>300</v>
      </c>
      <c r="F243">
        <v>0</v>
      </c>
      <c r="G243">
        <v>0</v>
      </c>
      <c r="H243">
        <f t="shared" si="9"/>
        <v>0</v>
      </c>
      <c r="I243" s="33">
        <v>44928</v>
      </c>
      <c r="J243" t="s">
        <v>10</v>
      </c>
      <c r="K243" s="2">
        <f t="shared" si="10"/>
        <v>0</v>
      </c>
      <c r="L243" s="2">
        <f t="shared" si="11"/>
        <v>0</v>
      </c>
    </row>
    <row r="244" spans="1:12" x14ac:dyDescent="0.25">
      <c r="A244" t="s">
        <v>23</v>
      </c>
      <c r="B244" t="s">
        <v>3</v>
      </c>
      <c r="C244" t="s">
        <v>52</v>
      </c>
      <c r="D244" s="2">
        <v>150</v>
      </c>
      <c r="E244" s="2">
        <v>250</v>
      </c>
      <c r="F244">
        <v>1</v>
      </c>
      <c r="G244">
        <v>1</v>
      </c>
      <c r="H244">
        <f t="shared" si="9"/>
        <v>0</v>
      </c>
      <c r="I244" s="33">
        <v>44928</v>
      </c>
      <c r="J244" t="s">
        <v>10</v>
      </c>
      <c r="K244" s="2">
        <f t="shared" si="10"/>
        <v>0</v>
      </c>
      <c r="L244" s="2">
        <f t="shared" si="11"/>
        <v>0</v>
      </c>
    </row>
    <row r="245" spans="1:12" x14ac:dyDescent="0.25">
      <c r="A245" t="s">
        <v>9</v>
      </c>
      <c r="B245" t="s">
        <v>3</v>
      </c>
      <c r="C245" t="s">
        <v>53</v>
      </c>
      <c r="D245" s="2">
        <v>100</v>
      </c>
      <c r="E245" s="2">
        <v>200</v>
      </c>
      <c r="F245">
        <v>0</v>
      </c>
      <c r="G245">
        <v>0</v>
      </c>
      <c r="H245">
        <f t="shared" si="9"/>
        <v>0</v>
      </c>
      <c r="I245" s="33">
        <v>44928</v>
      </c>
      <c r="J245" t="s">
        <v>10</v>
      </c>
      <c r="K245" s="2">
        <f t="shared" si="10"/>
        <v>0</v>
      </c>
      <c r="L245" s="2">
        <f t="shared" si="11"/>
        <v>0</v>
      </c>
    </row>
    <row r="246" spans="1:12" x14ac:dyDescent="0.25">
      <c r="A246" t="s">
        <v>2</v>
      </c>
      <c r="B246" t="s">
        <v>12</v>
      </c>
      <c r="C246" t="s">
        <v>49</v>
      </c>
      <c r="D246" s="2">
        <v>250</v>
      </c>
      <c r="E246" s="2">
        <v>350</v>
      </c>
      <c r="F246">
        <v>2</v>
      </c>
      <c r="G246">
        <v>2</v>
      </c>
      <c r="H246">
        <f t="shared" si="9"/>
        <v>0</v>
      </c>
      <c r="I246" s="33">
        <v>44928</v>
      </c>
      <c r="J246" t="s">
        <v>10</v>
      </c>
      <c r="K246" s="2">
        <f t="shared" si="10"/>
        <v>0</v>
      </c>
      <c r="L246" s="2">
        <f t="shared" si="11"/>
        <v>0</v>
      </c>
    </row>
    <row r="247" spans="1:12" x14ac:dyDescent="0.25">
      <c r="A247" t="s">
        <v>7</v>
      </c>
      <c r="B247" t="s">
        <v>12</v>
      </c>
      <c r="C247" t="s">
        <v>54</v>
      </c>
      <c r="D247" s="2">
        <v>300</v>
      </c>
      <c r="E247" s="2">
        <v>400</v>
      </c>
      <c r="F247">
        <v>1</v>
      </c>
      <c r="G247">
        <v>1</v>
      </c>
      <c r="H247">
        <f t="shared" si="9"/>
        <v>0</v>
      </c>
      <c r="I247" s="33">
        <v>44928</v>
      </c>
      <c r="J247" t="s">
        <v>10</v>
      </c>
      <c r="K247" s="2">
        <f t="shared" si="10"/>
        <v>0</v>
      </c>
      <c r="L247" s="2">
        <f t="shared" si="11"/>
        <v>0</v>
      </c>
    </row>
    <row r="248" spans="1:12" x14ac:dyDescent="0.25">
      <c r="A248" t="s">
        <v>8</v>
      </c>
      <c r="B248" t="s">
        <v>12</v>
      </c>
      <c r="C248" t="s">
        <v>55</v>
      </c>
      <c r="D248" s="2">
        <v>250</v>
      </c>
      <c r="E248" s="2">
        <v>350</v>
      </c>
      <c r="F248">
        <v>1</v>
      </c>
      <c r="G248">
        <v>0</v>
      </c>
      <c r="H248">
        <f t="shared" si="9"/>
        <v>1</v>
      </c>
      <c r="I248" s="33">
        <v>44928</v>
      </c>
      <c r="J248" t="s">
        <v>10</v>
      </c>
      <c r="K248" s="2">
        <f t="shared" si="10"/>
        <v>350</v>
      </c>
      <c r="L248" s="2">
        <f t="shared" si="11"/>
        <v>100</v>
      </c>
    </row>
    <row r="249" spans="1:12" x14ac:dyDescent="0.25">
      <c r="A249" t="s">
        <v>9</v>
      </c>
      <c r="B249" t="s">
        <v>12</v>
      </c>
      <c r="C249" t="s">
        <v>56</v>
      </c>
      <c r="D249" s="2">
        <v>250</v>
      </c>
      <c r="E249" s="2">
        <v>350</v>
      </c>
      <c r="F249">
        <v>0</v>
      </c>
      <c r="G249">
        <v>0</v>
      </c>
      <c r="H249">
        <f t="shared" si="9"/>
        <v>0</v>
      </c>
      <c r="I249" s="33">
        <v>44928</v>
      </c>
      <c r="J249" t="s">
        <v>10</v>
      </c>
      <c r="K249" s="2">
        <f t="shared" si="10"/>
        <v>0</v>
      </c>
      <c r="L249" s="2">
        <f t="shared" si="11"/>
        <v>0</v>
      </c>
    </row>
    <row r="250" spans="1:12" x14ac:dyDescent="0.25">
      <c r="A250" t="s">
        <v>13</v>
      </c>
      <c r="B250" t="s">
        <v>12</v>
      </c>
      <c r="C250" t="s">
        <v>57</v>
      </c>
      <c r="D250" s="2">
        <v>300</v>
      </c>
      <c r="E250" s="2">
        <v>450</v>
      </c>
      <c r="F250">
        <v>1</v>
      </c>
      <c r="G250">
        <v>0</v>
      </c>
      <c r="H250">
        <f t="shared" si="9"/>
        <v>1</v>
      </c>
      <c r="I250" s="33">
        <v>44928</v>
      </c>
      <c r="J250" t="s">
        <v>10</v>
      </c>
      <c r="K250" s="2">
        <f t="shared" si="10"/>
        <v>450</v>
      </c>
      <c r="L250" s="2">
        <f t="shared" si="11"/>
        <v>150</v>
      </c>
    </row>
    <row r="251" spans="1:12" x14ac:dyDescent="0.25">
      <c r="A251" t="s">
        <v>14</v>
      </c>
      <c r="B251" t="s">
        <v>16</v>
      </c>
      <c r="C251" t="s">
        <v>50</v>
      </c>
      <c r="D251" s="2">
        <v>320</v>
      </c>
      <c r="E251" s="2">
        <v>400</v>
      </c>
      <c r="F251">
        <v>0</v>
      </c>
      <c r="G251">
        <v>0</v>
      </c>
      <c r="H251">
        <f t="shared" si="9"/>
        <v>0</v>
      </c>
      <c r="I251" s="33">
        <v>44928</v>
      </c>
      <c r="J251" t="s">
        <v>10</v>
      </c>
      <c r="K251" s="2">
        <f t="shared" si="10"/>
        <v>0</v>
      </c>
      <c r="L251" s="2">
        <f t="shared" si="11"/>
        <v>0</v>
      </c>
    </row>
    <row r="252" spans="1:12" x14ac:dyDescent="0.25">
      <c r="A252" t="s">
        <v>15</v>
      </c>
      <c r="B252" t="s">
        <v>16</v>
      </c>
      <c r="C252" t="s">
        <v>58</v>
      </c>
      <c r="D252" s="2">
        <v>100</v>
      </c>
      <c r="E252" s="2">
        <v>150</v>
      </c>
      <c r="F252">
        <v>2</v>
      </c>
      <c r="G252">
        <v>0</v>
      </c>
      <c r="H252">
        <f t="shared" si="9"/>
        <v>2</v>
      </c>
      <c r="I252" s="33">
        <v>44928</v>
      </c>
      <c r="J252" t="s">
        <v>10</v>
      </c>
      <c r="K252" s="2">
        <f t="shared" si="10"/>
        <v>300</v>
      </c>
      <c r="L252" s="2">
        <f t="shared" si="11"/>
        <v>100</v>
      </c>
    </row>
    <row r="253" spans="1:12" x14ac:dyDescent="0.25">
      <c r="A253" t="s">
        <v>2</v>
      </c>
      <c r="B253" t="s">
        <v>21</v>
      </c>
      <c r="C253" t="s">
        <v>51</v>
      </c>
      <c r="D253" s="2">
        <v>25</v>
      </c>
      <c r="E253" s="2">
        <v>40</v>
      </c>
      <c r="F253">
        <v>10</v>
      </c>
      <c r="G253">
        <v>0</v>
      </c>
      <c r="H253">
        <f t="shared" si="9"/>
        <v>10</v>
      </c>
      <c r="I253" s="33">
        <v>44928</v>
      </c>
      <c r="J253" t="s">
        <v>10</v>
      </c>
      <c r="K253" s="2">
        <f t="shared" si="10"/>
        <v>400</v>
      </c>
      <c r="L253" s="2">
        <f t="shared" si="11"/>
        <v>150</v>
      </c>
    </row>
    <row r="254" spans="1:12" x14ac:dyDescent="0.25">
      <c r="A254" t="s">
        <v>7</v>
      </c>
      <c r="B254" t="s">
        <v>21</v>
      </c>
      <c r="C254" t="s">
        <v>59</v>
      </c>
      <c r="D254" s="2">
        <v>30</v>
      </c>
      <c r="E254" s="2">
        <v>50</v>
      </c>
      <c r="F254">
        <v>4</v>
      </c>
      <c r="G254">
        <v>0</v>
      </c>
      <c r="H254">
        <f t="shared" si="9"/>
        <v>4</v>
      </c>
      <c r="I254" s="33">
        <v>44928</v>
      </c>
      <c r="J254" t="s">
        <v>10</v>
      </c>
      <c r="K254" s="2">
        <f t="shared" si="10"/>
        <v>200</v>
      </c>
      <c r="L254" s="2">
        <f t="shared" si="11"/>
        <v>80</v>
      </c>
    </row>
    <row r="255" spans="1:12" x14ac:dyDescent="0.25">
      <c r="A255" t="s">
        <v>9</v>
      </c>
      <c r="B255" t="s">
        <v>21</v>
      </c>
      <c r="C255" t="s">
        <v>60</v>
      </c>
      <c r="D255" s="2">
        <v>25</v>
      </c>
      <c r="E255" s="2">
        <v>40</v>
      </c>
      <c r="F255">
        <v>10</v>
      </c>
      <c r="G255">
        <v>6</v>
      </c>
      <c r="H255">
        <f t="shared" si="9"/>
        <v>4</v>
      </c>
      <c r="I255" s="33">
        <v>44928</v>
      </c>
      <c r="J255" t="s">
        <v>10</v>
      </c>
      <c r="K255" s="2">
        <f t="shared" si="10"/>
        <v>160</v>
      </c>
      <c r="L255" s="2">
        <f t="shared" si="11"/>
        <v>60</v>
      </c>
    </row>
    <row r="256" spans="1:12" x14ac:dyDescent="0.25">
      <c r="A256" t="s">
        <v>23</v>
      </c>
      <c r="B256" t="s">
        <v>21</v>
      </c>
      <c r="C256" t="s">
        <v>61</v>
      </c>
      <c r="D256" s="2">
        <v>25</v>
      </c>
      <c r="E256" s="2">
        <v>40</v>
      </c>
      <c r="F256">
        <v>10</v>
      </c>
      <c r="G256">
        <v>0</v>
      </c>
      <c r="H256">
        <f t="shared" si="9"/>
        <v>10</v>
      </c>
      <c r="I256" s="33">
        <v>44928</v>
      </c>
      <c r="J256" t="s">
        <v>10</v>
      </c>
      <c r="K256" s="2">
        <f t="shared" si="10"/>
        <v>400</v>
      </c>
      <c r="L256" s="2">
        <f t="shared" si="11"/>
        <v>150</v>
      </c>
    </row>
    <row r="257" spans="1:12" x14ac:dyDescent="0.25">
      <c r="A257" t="s">
        <v>13</v>
      </c>
      <c r="B257" t="s">
        <v>21</v>
      </c>
      <c r="C257" t="s">
        <v>62</v>
      </c>
      <c r="D257" s="2">
        <v>30</v>
      </c>
      <c r="E257" s="2">
        <v>55</v>
      </c>
      <c r="F257">
        <v>3</v>
      </c>
      <c r="G257">
        <v>0</v>
      </c>
      <c r="H257">
        <f t="shared" si="9"/>
        <v>3</v>
      </c>
      <c r="I257" s="33">
        <v>44928</v>
      </c>
      <c r="J257" t="s">
        <v>10</v>
      </c>
      <c r="K257" s="2">
        <f t="shared" si="10"/>
        <v>165</v>
      </c>
      <c r="L257" s="2">
        <f t="shared" si="11"/>
        <v>75</v>
      </c>
    </row>
    <row r="258" spans="1:12" x14ac:dyDescent="0.25">
      <c r="A258" t="s">
        <v>17</v>
      </c>
      <c r="B258" t="s">
        <v>21</v>
      </c>
      <c r="C258" t="s">
        <v>63</v>
      </c>
      <c r="D258" s="2">
        <v>40</v>
      </c>
      <c r="E258" s="2">
        <v>65</v>
      </c>
      <c r="F258">
        <v>6</v>
      </c>
      <c r="G258">
        <v>2</v>
      </c>
      <c r="H258">
        <f t="shared" ref="H258:H321" si="12">F258-G258</f>
        <v>4</v>
      </c>
      <c r="I258" s="33">
        <v>44928</v>
      </c>
      <c r="J258" t="s">
        <v>10</v>
      </c>
      <c r="K258" s="2">
        <f t="shared" ref="K258:K321" si="13">E258*H258</f>
        <v>260</v>
      </c>
      <c r="L258" s="2">
        <f t="shared" ref="L258:L321" si="14">(E258-D258)*H258</f>
        <v>100</v>
      </c>
    </row>
    <row r="259" spans="1:12" x14ac:dyDescent="0.25">
      <c r="A259" t="s">
        <v>34</v>
      </c>
      <c r="B259" t="s">
        <v>21</v>
      </c>
      <c r="C259" t="s">
        <v>64</v>
      </c>
      <c r="D259" s="2">
        <v>50</v>
      </c>
      <c r="E259" s="2">
        <v>70</v>
      </c>
      <c r="F259">
        <v>0</v>
      </c>
      <c r="G259">
        <v>0</v>
      </c>
      <c r="H259">
        <f t="shared" si="12"/>
        <v>0</v>
      </c>
      <c r="I259" s="33">
        <v>44928</v>
      </c>
      <c r="J259" t="s">
        <v>10</v>
      </c>
      <c r="K259" s="2">
        <f t="shared" si="13"/>
        <v>0</v>
      </c>
      <c r="L259" s="2">
        <f t="shared" si="14"/>
        <v>0</v>
      </c>
    </row>
    <row r="260" spans="1:12" x14ac:dyDescent="0.25">
      <c r="A260" t="s">
        <v>18</v>
      </c>
      <c r="B260" t="s">
        <v>21</v>
      </c>
      <c r="C260" t="s">
        <v>65</v>
      </c>
      <c r="D260" s="2">
        <v>20</v>
      </c>
      <c r="E260" s="2">
        <v>30</v>
      </c>
      <c r="F260">
        <v>0</v>
      </c>
      <c r="G260">
        <v>0</v>
      </c>
      <c r="H260">
        <f t="shared" si="12"/>
        <v>0</v>
      </c>
      <c r="I260" s="33">
        <v>44928</v>
      </c>
      <c r="J260" t="s">
        <v>10</v>
      </c>
      <c r="K260" s="2">
        <f t="shared" si="13"/>
        <v>0</v>
      </c>
      <c r="L260" s="2">
        <f t="shared" si="14"/>
        <v>0</v>
      </c>
    </row>
    <row r="261" spans="1:12" x14ac:dyDescent="0.25">
      <c r="A261" t="s">
        <v>19</v>
      </c>
      <c r="B261" t="s">
        <v>21</v>
      </c>
      <c r="C261" t="s">
        <v>66</v>
      </c>
      <c r="D261" s="2">
        <v>10</v>
      </c>
      <c r="E261" s="2">
        <v>20</v>
      </c>
      <c r="F261">
        <v>4</v>
      </c>
      <c r="G261">
        <v>0</v>
      </c>
      <c r="H261">
        <f t="shared" si="12"/>
        <v>4</v>
      </c>
      <c r="I261" s="33">
        <v>44928</v>
      </c>
      <c r="J261" t="s">
        <v>10</v>
      </c>
      <c r="K261" s="2">
        <f t="shared" si="13"/>
        <v>80</v>
      </c>
      <c r="L261" s="2">
        <f t="shared" si="14"/>
        <v>40</v>
      </c>
    </row>
    <row r="262" spans="1:12" x14ac:dyDescent="0.25">
      <c r="A262" t="s">
        <v>20</v>
      </c>
      <c r="B262" t="s">
        <v>21</v>
      </c>
      <c r="C262" t="s">
        <v>67</v>
      </c>
      <c r="D262" s="2">
        <v>60</v>
      </c>
      <c r="E262" s="2">
        <v>100</v>
      </c>
      <c r="F262">
        <v>6</v>
      </c>
      <c r="G262">
        <v>6</v>
      </c>
      <c r="H262">
        <f t="shared" si="12"/>
        <v>0</v>
      </c>
      <c r="I262" s="33">
        <v>44928</v>
      </c>
      <c r="J262" t="s">
        <v>10</v>
      </c>
      <c r="K262" s="2">
        <f t="shared" si="13"/>
        <v>0</v>
      </c>
      <c r="L262" s="2">
        <f t="shared" si="14"/>
        <v>0</v>
      </c>
    </row>
    <row r="263" spans="1:12" x14ac:dyDescent="0.25">
      <c r="A263" t="s">
        <v>22</v>
      </c>
      <c r="B263" t="s">
        <v>24</v>
      </c>
      <c r="C263" t="s">
        <v>68</v>
      </c>
      <c r="D263" s="2">
        <v>50</v>
      </c>
      <c r="E263" s="2">
        <v>70</v>
      </c>
      <c r="F263">
        <v>0</v>
      </c>
      <c r="G263">
        <v>0</v>
      </c>
      <c r="H263">
        <f t="shared" si="12"/>
        <v>0</v>
      </c>
      <c r="I263" s="33">
        <v>44928</v>
      </c>
      <c r="J263" t="s">
        <v>10</v>
      </c>
      <c r="K263" s="2">
        <f t="shared" si="13"/>
        <v>0</v>
      </c>
      <c r="L263" s="2">
        <f t="shared" si="14"/>
        <v>0</v>
      </c>
    </row>
    <row r="264" spans="1:12" x14ac:dyDescent="0.25">
      <c r="A264" t="s">
        <v>25</v>
      </c>
      <c r="B264" t="s">
        <v>24</v>
      </c>
      <c r="C264" t="s">
        <v>69</v>
      </c>
      <c r="D264" s="2">
        <v>45</v>
      </c>
      <c r="E264" s="2">
        <v>65</v>
      </c>
      <c r="F264">
        <v>4</v>
      </c>
      <c r="G264">
        <v>4</v>
      </c>
      <c r="H264">
        <f t="shared" si="12"/>
        <v>0</v>
      </c>
      <c r="I264" s="33">
        <v>44928</v>
      </c>
      <c r="J264" t="s">
        <v>10</v>
      </c>
      <c r="K264" s="2">
        <f t="shared" si="13"/>
        <v>0</v>
      </c>
      <c r="L264" s="2">
        <f t="shared" si="14"/>
        <v>0</v>
      </c>
    </row>
    <row r="265" spans="1:12" x14ac:dyDescent="0.25">
      <c r="A265" t="s">
        <v>26</v>
      </c>
      <c r="B265" t="s">
        <v>24</v>
      </c>
      <c r="C265" t="s">
        <v>70</v>
      </c>
      <c r="D265" s="2">
        <v>50</v>
      </c>
      <c r="E265" s="2">
        <v>70</v>
      </c>
      <c r="F265">
        <v>3</v>
      </c>
      <c r="G265">
        <v>3</v>
      </c>
      <c r="H265">
        <f t="shared" si="12"/>
        <v>0</v>
      </c>
      <c r="I265" s="33">
        <v>44928</v>
      </c>
      <c r="J265" t="s">
        <v>10</v>
      </c>
      <c r="K265" s="2">
        <f t="shared" si="13"/>
        <v>0</v>
      </c>
      <c r="L265" s="2">
        <f t="shared" si="14"/>
        <v>0</v>
      </c>
    </row>
    <row r="266" spans="1:12" x14ac:dyDescent="0.25">
      <c r="A266" t="s">
        <v>27</v>
      </c>
      <c r="B266" t="s">
        <v>24</v>
      </c>
      <c r="C266" t="s">
        <v>71</v>
      </c>
      <c r="D266" s="2">
        <v>10</v>
      </c>
      <c r="E266" s="2">
        <v>15</v>
      </c>
      <c r="F266">
        <v>10</v>
      </c>
      <c r="G266">
        <v>0</v>
      </c>
      <c r="H266">
        <f t="shared" si="12"/>
        <v>10</v>
      </c>
      <c r="I266" s="33">
        <v>44928</v>
      </c>
      <c r="J266" t="s">
        <v>10</v>
      </c>
      <c r="K266" s="2">
        <f t="shared" si="13"/>
        <v>150</v>
      </c>
      <c r="L266" s="2">
        <f t="shared" si="14"/>
        <v>50</v>
      </c>
    </row>
    <row r="267" spans="1:12" x14ac:dyDescent="0.25">
      <c r="A267" t="s">
        <v>28</v>
      </c>
      <c r="B267" t="s">
        <v>24</v>
      </c>
      <c r="C267" t="s">
        <v>72</v>
      </c>
      <c r="D267" s="2">
        <v>20</v>
      </c>
      <c r="E267" s="2">
        <v>25</v>
      </c>
      <c r="F267">
        <v>10</v>
      </c>
      <c r="G267">
        <v>0</v>
      </c>
      <c r="H267">
        <f t="shared" si="12"/>
        <v>10</v>
      </c>
      <c r="I267" s="33">
        <v>44928</v>
      </c>
      <c r="J267" t="s">
        <v>10</v>
      </c>
      <c r="K267" s="2">
        <f t="shared" si="13"/>
        <v>250</v>
      </c>
      <c r="L267" s="2">
        <f t="shared" si="14"/>
        <v>50</v>
      </c>
    </row>
    <row r="268" spans="1:12" x14ac:dyDescent="0.25">
      <c r="A268" t="s">
        <v>29</v>
      </c>
      <c r="B268" t="s">
        <v>30</v>
      </c>
      <c r="C268" t="s">
        <v>73</v>
      </c>
      <c r="D268" s="2">
        <v>25</v>
      </c>
      <c r="E268" s="2">
        <v>30</v>
      </c>
      <c r="F268">
        <v>16</v>
      </c>
      <c r="G268">
        <v>13</v>
      </c>
      <c r="H268">
        <f t="shared" si="12"/>
        <v>3</v>
      </c>
      <c r="I268" s="33">
        <v>44928</v>
      </c>
      <c r="J268" t="s">
        <v>10</v>
      </c>
      <c r="K268" s="2">
        <f t="shared" si="13"/>
        <v>90</v>
      </c>
      <c r="L268" s="2">
        <f t="shared" si="14"/>
        <v>15</v>
      </c>
    </row>
    <row r="269" spans="1:12" x14ac:dyDescent="0.25">
      <c r="A269" t="s">
        <v>31</v>
      </c>
      <c r="B269" t="s">
        <v>30</v>
      </c>
      <c r="C269" t="s">
        <v>74</v>
      </c>
      <c r="D269" s="2">
        <v>25</v>
      </c>
      <c r="E269" s="2">
        <v>30</v>
      </c>
      <c r="F269">
        <v>10</v>
      </c>
      <c r="G269">
        <v>9</v>
      </c>
      <c r="H269">
        <f t="shared" si="12"/>
        <v>1</v>
      </c>
      <c r="I269" s="33">
        <v>44928</v>
      </c>
      <c r="J269" t="s">
        <v>10</v>
      </c>
      <c r="K269" s="2">
        <f t="shared" si="13"/>
        <v>30</v>
      </c>
      <c r="L269" s="2">
        <f t="shared" si="14"/>
        <v>5</v>
      </c>
    </row>
    <row r="270" spans="1:12" x14ac:dyDescent="0.25">
      <c r="A270" t="s">
        <v>32</v>
      </c>
      <c r="B270" t="s">
        <v>30</v>
      </c>
      <c r="C270" t="s">
        <v>75</v>
      </c>
      <c r="D270" s="2">
        <v>25</v>
      </c>
      <c r="E270" s="2">
        <v>30</v>
      </c>
      <c r="F270">
        <v>10</v>
      </c>
      <c r="G270">
        <v>5</v>
      </c>
      <c r="H270">
        <f t="shared" si="12"/>
        <v>5</v>
      </c>
      <c r="I270" s="33">
        <v>44928</v>
      </c>
      <c r="J270" t="s">
        <v>10</v>
      </c>
      <c r="K270" s="2">
        <f t="shared" si="13"/>
        <v>150</v>
      </c>
      <c r="L270" s="2">
        <f t="shared" si="14"/>
        <v>25</v>
      </c>
    </row>
    <row r="271" spans="1:12" x14ac:dyDescent="0.25">
      <c r="A271" t="s">
        <v>33</v>
      </c>
      <c r="B271" t="s">
        <v>30</v>
      </c>
      <c r="C271" t="s">
        <v>76</v>
      </c>
      <c r="D271" s="2">
        <v>30</v>
      </c>
      <c r="E271" s="2">
        <v>35</v>
      </c>
      <c r="F271">
        <v>5</v>
      </c>
      <c r="G271">
        <v>0</v>
      </c>
      <c r="H271">
        <f t="shared" si="12"/>
        <v>5</v>
      </c>
      <c r="I271" s="33">
        <v>44928</v>
      </c>
      <c r="J271" t="s">
        <v>10</v>
      </c>
      <c r="K271" s="2">
        <f t="shared" si="13"/>
        <v>175</v>
      </c>
      <c r="L271" s="2">
        <f t="shared" si="14"/>
        <v>25</v>
      </c>
    </row>
    <row r="272" spans="1:12" x14ac:dyDescent="0.25">
      <c r="A272" t="s">
        <v>2</v>
      </c>
      <c r="B272" t="s">
        <v>3</v>
      </c>
      <c r="C272" t="s">
        <v>48</v>
      </c>
      <c r="D272" s="2">
        <v>100</v>
      </c>
      <c r="E272" s="2">
        <v>200</v>
      </c>
      <c r="F272">
        <v>6</v>
      </c>
      <c r="G272">
        <v>4</v>
      </c>
      <c r="H272">
        <f t="shared" si="12"/>
        <v>2</v>
      </c>
      <c r="I272" s="33">
        <v>44930</v>
      </c>
      <c r="J272" t="s">
        <v>35</v>
      </c>
      <c r="K272" s="2">
        <f t="shared" si="13"/>
        <v>400</v>
      </c>
      <c r="L272" s="2">
        <f t="shared" si="14"/>
        <v>200</v>
      </c>
    </row>
    <row r="273" spans="1:12" x14ac:dyDescent="0.25">
      <c r="A273" t="s">
        <v>7</v>
      </c>
      <c r="B273" t="s">
        <v>3</v>
      </c>
      <c r="C273" t="s">
        <v>77</v>
      </c>
      <c r="D273" s="2">
        <v>200</v>
      </c>
      <c r="E273" s="2">
        <v>300</v>
      </c>
      <c r="F273">
        <v>2</v>
      </c>
      <c r="G273">
        <v>1</v>
      </c>
      <c r="H273">
        <f t="shared" si="12"/>
        <v>1</v>
      </c>
      <c r="I273" s="33">
        <v>44930</v>
      </c>
      <c r="J273" t="s">
        <v>35</v>
      </c>
      <c r="K273" s="2">
        <f t="shared" si="13"/>
        <v>300</v>
      </c>
      <c r="L273" s="2">
        <f t="shared" si="14"/>
        <v>100</v>
      </c>
    </row>
    <row r="274" spans="1:12" x14ac:dyDescent="0.25">
      <c r="A274" t="s">
        <v>23</v>
      </c>
      <c r="B274" t="s">
        <v>3</v>
      </c>
      <c r="C274" t="s">
        <v>52</v>
      </c>
      <c r="D274" s="2">
        <v>150</v>
      </c>
      <c r="E274" s="2">
        <v>250</v>
      </c>
      <c r="F274">
        <v>2</v>
      </c>
      <c r="G274">
        <v>1</v>
      </c>
      <c r="H274">
        <f t="shared" si="12"/>
        <v>1</v>
      </c>
      <c r="I274" s="33">
        <v>44930</v>
      </c>
      <c r="J274" t="s">
        <v>35</v>
      </c>
      <c r="K274" s="2">
        <f t="shared" si="13"/>
        <v>250</v>
      </c>
      <c r="L274" s="2">
        <f t="shared" si="14"/>
        <v>100</v>
      </c>
    </row>
    <row r="275" spans="1:12" x14ac:dyDescent="0.25">
      <c r="A275" t="s">
        <v>9</v>
      </c>
      <c r="B275" t="s">
        <v>3</v>
      </c>
      <c r="C275" t="s">
        <v>53</v>
      </c>
      <c r="D275" s="2">
        <v>100</v>
      </c>
      <c r="E275" s="2">
        <v>200</v>
      </c>
      <c r="F275">
        <v>2</v>
      </c>
      <c r="G275">
        <v>0</v>
      </c>
      <c r="H275">
        <f t="shared" si="12"/>
        <v>2</v>
      </c>
      <c r="I275" s="33">
        <v>44930</v>
      </c>
      <c r="J275" t="s">
        <v>35</v>
      </c>
      <c r="K275" s="2">
        <f t="shared" si="13"/>
        <v>400</v>
      </c>
      <c r="L275" s="2">
        <f t="shared" si="14"/>
        <v>200</v>
      </c>
    </row>
    <row r="276" spans="1:12" x14ac:dyDescent="0.25">
      <c r="A276" t="s">
        <v>2</v>
      </c>
      <c r="B276" t="s">
        <v>12</v>
      </c>
      <c r="C276" t="s">
        <v>49</v>
      </c>
      <c r="D276" s="2">
        <v>250</v>
      </c>
      <c r="E276" s="2">
        <v>350</v>
      </c>
      <c r="F276">
        <v>2</v>
      </c>
      <c r="G276">
        <v>2</v>
      </c>
      <c r="H276">
        <f t="shared" si="12"/>
        <v>0</v>
      </c>
      <c r="I276" s="33">
        <v>44930</v>
      </c>
      <c r="J276" t="s">
        <v>35</v>
      </c>
      <c r="K276" s="2">
        <f t="shared" si="13"/>
        <v>0</v>
      </c>
      <c r="L276" s="2">
        <f t="shared" si="14"/>
        <v>0</v>
      </c>
    </row>
    <row r="277" spans="1:12" x14ac:dyDescent="0.25">
      <c r="A277" t="s">
        <v>7</v>
      </c>
      <c r="B277" t="s">
        <v>12</v>
      </c>
      <c r="C277" t="s">
        <v>54</v>
      </c>
      <c r="D277" s="2">
        <v>300</v>
      </c>
      <c r="E277" s="2">
        <v>400</v>
      </c>
      <c r="F277">
        <v>1</v>
      </c>
      <c r="G277">
        <v>1</v>
      </c>
      <c r="H277">
        <f t="shared" si="12"/>
        <v>0</v>
      </c>
      <c r="I277" s="33">
        <v>44930</v>
      </c>
      <c r="J277" t="s">
        <v>35</v>
      </c>
      <c r="K277" s="2">
        <f t="shared" si="13"/>
        <v>0</v>
      </c>
      <c r="L277" s="2">
        <f t="shared" si="14"/>
        <v>0</v>
      </c>
    </row>
    <row r="278" spans="1:12" x14ac:dyDescent="0.25">
      <c r="A278" t="s">
        <v>8</v>
      </c>
      <c r="B278" t="s">
        <v>12</v>
      </c>
      <c r="C278" t="s">
        <v>55</v>
      </c>
      <c r="D278" s="2">
        <v>250</v>
      </c>
      <c r="E278" s="2">
        <v>350</v>
      </c>
      <c r="F278">
        <v>2</v>
      </c>
      <c r="G278">
        <v>1</v>
      </c>
      <c r="H278">
        <f t="shared" si="12"/>
        <v>1</v>
      </c>
      <c r="I278" s="33">
        <v>44930</v>
      </c>
      <c r="J278" t="s">
        <v>35</v>
      </c>
      <c r="K278" s="2">
        <f t="shared" si="13"/>
        <v>350</v>
      </c>
      <c r="L278" s="2">
        <f t="shared" si="14"/>
        <v>100</v>
      </c>
    </row>
    <row r="279" spans="1:12" x14ac:dyDescent="0.25">
      <c r="A279" t="s">
        <v>9</v>
      </c>
      <c r="B279" t="s">
        <v>12</v>
      </c>
      <c r="C279" t="s">
        <v>56</v>
      </c>
      <c r="D279" s="2">
        <v>250</v>
      </c>
      <c r="E279" s="2">
        <v>350</v>
      </c>
      <c r="F279">
        <v>1</v>
      </c>
      <c r="G279">
        <v>1</v>
      </c>
      <c r="H279">
        <f t="shared" si="12"/>
        <v>0</v>
      </c>
      <c r="I279" s="33">
        <v>44930</v>
      </c>
      <c r="J279" t="s">
        <v>35</v>
      </c>
      <c r="K279" s="2">
        <f t="shared" si="13"/>
        <v>0</v>
      </c>
      <c r="L279" s="2">
        <f t="shared" si="14"/>
        <v>0</v>
      </c>
    </row>
    <row r="280" spans="1:12" x14ac:dyDescent="0.25">
      <c r="A280" t="s">
        <v>13</v>
      </c>
      <c r="B280" t="s">
        <v>12</v>
      </c>
      <c r="C280" t="s">
        <v>57</v>
      </c>
      <c r="D280" s="2">
        <v>300</v>
      </c>
      <c r="E280" s="2">
        <v>450</v>
      </c>
      <c r="F280">
        <v>1</v>
      </c>
      <c r="G280">
        <v>1</v>
      </c>
      <c r="H280">
        <f t="shared" si="12"/>
        <v>0</v>
      </c>
      <c r="I280" s="33">
        <v>44930</v>
      </c>
      <c r="J280" t="s">
        <v>35</v>
      </c>
      <c r="K280" s="2">
        <f t="shared" si="13"/>
        <v>0</v>
      </c>
      <c r="L280" s="2">
        <f t="shared" si="14"/>
        <v>0</v>
      </c>
    </row>
    <row r="281" spans="1:12" x14ac:dyDescent="0.25">
      <c r="A281" t="s">
        <v>14</v>
      </c>
      <c r="B281" t="s">
        <v>16</v>
      </c>
      <c r="C281" t="s">
        <v>50</v>
      </c>
      <c r="D281" s="2">
        <v>320</v>
      </c>
      <c r="E281" s="2">
        <v>400</v>
      </c>
      <c r="F281">
        <v>0</v>
      </c>
      <c r="G281">
        <v>0</v>
      </c>
      <c r="H281">
        <f t="shared" si="12"/>
        <v>0</v>
      </c>
      <c r="I281" s="33">
        <v>44930</v>
      </c>
      <c r="J281" t="s">
        <v>35</v>
      </c>
      <c r="K281" s="2">
        <f t="shared" si="13"/>
        <v>0</v>
      </c>
      <c r="L281" s="2">
        <f t="shared" si="14"/>
        <v>0</v>
      </c>
    </row>
    <row r="282" spans="1:12" x14ac:dyDescent="0.25">
      <c r="A282" t="s">
        <v>15</v>
      </c>
      <c r="B282" t="s">
        <v>16</v>
      </c>
      <c r="C282" t="s">
        <v>58</v>
      </c>
      <c r="D282" s="2">
        <v>100</v>
      </c>
      <c r="E282" s="2">
        <v>150</v>
      </c>
      <c r="F282">
        <v>0</v>
      </c>
      <c r="G282">
        <v>0</v>
      </c>
      <c r="H282">
        <f t="shared" si="12"/>
        <v>0</v>
      </c>
      <c r="I282" s="33">
        <v>44930</v>
      </c>
      <c r="J282" t="s">
        <v>35</v>
      </c>
      <c r="K282" s="2">
        <f t="shared" si="13"/>
        <v>0</v>
      </c>
      <c r="L282" s="2">
        <f t="shared" si="14"/>
        <v>0</v>
      </c>
    </row>
    <row r="283" spans="1:12" x14ac:dyDescent="0.25">
      <c r="A283" t="s">
        <v>2</v>
      </c>
      <c r="B283" t="s">
        <v>21</v>
      </c>
      <c r="C283" t="s">
        <v>51</v>
      </c>
      <c r="D283" s="2">
        <v>25</v>
      </c>
      <c r="E283" s="2">
        <v>40</v>
      </c>
      <c r="F283">
        <v>10</v>
      </c>
      <c r="G283">
        <v>3</v>
      </c>
      <c r="H283">
        <f t="shared" si="12"/>
        <v>7</v>
      </c>
      <c r="I283" s="33">
        <v>44930</v>
      </c>
      <c r="J283" t="s">
        <v>35</v>
      </c>
      <c r="K283" s="2">
        <f t="shared" si="13"/>
        <v>280</v>
      </c>
      <c r="L283" s="2">
        <f t="shared" si="14"/>
        <v>105</v>
      </c>
    </row>
    <row r="284" spans="1:12" x14ac:dyDescent="0.25">
      <c r="A284" t="s">
        <v>7</v>
      </c>
      <c r="B284" t="s">
        <v>21</v>
      </c>
      <c r="C284" t="s">
        <v>59</v>
      </c>
      <c r="D284" s="2">
        <v>30</v>
      </c>
      <c r="E284" s="2">
        <v>50</v>
      </c>
      <c r="F284">
        <v>0</v>
      </c>
      <c r="G284">
        <v>0</v>
      </c>
      <c r="H284">
        <f t="shared" si="12"/>
        <v>0</v>
      </c>
      <c r="I284" s="33">
        <v>44930</v>
      </c>
      <c r="J284" t="s">
        <v>35</v>
      </c>
      <c r="K284" s="2">
        <f t="shared" si="13"/>
        <v>0</v>
      </c>
      <c r="L284" s="2">
        <f t="shared" si="14"/>
        <v>0</v>
      </c>
    </row>
    <row r="285" spans="1:12" x14ac:dyDescent="0.25">
      <c r="A285" t="s">
        <v>9</v>
      </c>
      <c r="B285" t="s">
        <v>21</v>
      </c>
      <c r="C285" t="s">
        <v>60</v>
      </c>
      <c r="D285" s="2">
        <v>25</v>
      </c>
      <c r="E285" s="2">
        <v>40</v>
      </c>
      <c r="F285">
        <v>16</v>
      </c>
      <c r="G285">
        <v>15</v>
      </c>
      <c r="H285">
        <f t="shared" si="12"/>
        <v>1</v>
      </c>
      <c r="I285" s="33">
        <v>44930</v>
      </c>
      <c r="J285" t="s">
        <v>35</v>
      </c>
      <c r="K285" s="2">
        <f t="shared" si="13"/>
        <v>40</v>
      </c>
      <c r="L285" s="2">
        <f t="shared" si="14"/>
        <v>15</v>
      </c>
    </row>
    <row r="286" spans="1:12" x14ac:dyDescent="0.25">
      <c r="A286" t="s">
        <v>23</v>
      </c>
      <c r="B286" t="s">
        <v>21</v>
      </c>
      <c r="C286" t="s">
        <v>61</v>
      </c>
      <c r="D286" s="2">
        <v>25</v>
      </c>
      <c r="E286" s="2">
        <v>40</v>
      </c>
      <c r="F286">
        <v>11</v>
      </c>
      <c r="G286">
        <v>5</v>
      </c>
      <c r="H286">
        <f t="shared" si="12"/>
        <v>6</v>
      </c>
      <c r="I286" s="33">
        <v>44930</v>
      </c>
      <c r="J286" t="s">
        <v>35</v>
      </c>
      <c r="K286" s="2">
        <f t="shared" si="13"/>
        <v>240</v>
      </c>
      <c r="L286" s="2">
        <f t="shared" si="14"/>
        <v>90</v>
      </c>
    </row>
    <row r="287" spans="1:12" x14ac:dyDescent="0.25">
      <c r="A287" t="s">
        <v>13</v>
      </c>
      <c r="B287" t="s">
        <v>21</v>
      </c>
      <c r="C287" t="s">
        <v>62</v>
      </c>
      <c r="D287" s="2">
        <v>30</v>
      </c>
      <c r="E287" s="2">
        <v>55</v>
      </c>
      <c r="F287">
        <v>0</v>
      </c>
      <c r="G287">
        <v>0</v>
      </c>
      <c r="H287">
        <f t="shared" si="12"/>
        <v>0</v>
      </c>
      <c r="I287" s="33">
        <v>44930</v>
      </c>
      <c r="J287" t="s">
        <v>35</v>
      </c>
      <c r="K287" s="2">
        <f t="shared" si="13"/>
        <v>0</v>
      </c>
      <c r="L287" s="2">
        <f t="shared" si="14"/>
        <v>0</v>
      </c>
    </row>
    <row r="288" spans="1:12" x14ac:dyDescent="0.25">
      <c r="A288" t="s">
        <v>17</v>
      </c>
      <c r="B288" t="s">
        <v>21</v>
      </c>
      <c r="C288" t="s">
        <v>63</v>
      </c>
      <c r="D288" s="2">
        <v>40</v>
      </c>
      <c r="E288" s="2">
        <v>65</v>
      </c>
      <c r="F288">
        <v>22</v>
      </c>
      <c r="G288">
        <v>19</v>
      </c>
      <c r="H288">
        <f t="shared" si="12"/>
        <v>3</v>
      </c>
      <c r="I288" s="33">
        <v>44930</v>
      </c>
      <c r="J288" t="s">
        <v>35</v>
      </c>
      <c r="K288" s="2">
        <f t="shared" si="13"/>
        <v>195</v>
      </c>
      <c r="L288" s="2">
        <f t="shared" si="14"/>
        <v>75</v>
      </c>
    </row>
    <row r="289" spans="1:12" x14ac:dyDescent="0.25">
      <c r="A289" t="s">
        <v>34</v>
      </c>
      <c r="B289" t="s">
        <v>21</v>
      </c>
      <c r="C289" t="s">
        <v>64</v>
      </c>
      <c r="D289" s="2">
        <v>50</v>
      </c>
      <c r="E289" s="2">
        <v>70</v>
      </c>
      <c r="F289">
        <v>0</v>
      </c>
      <c r="G289">
        <v>0</v>
      </c>
      <c r="H289">
        <f t="shared" si="12"/>
        <v>0</v>
      </c>
      <c r="I289" s="33">
        <v>44930</v>
      </c>
      <c r="J289" t="s">
        <v>35</v>
      </c>
      <c r="K289" s="2">
        <f t="shared" si="13"/>
        <v>0</v>
      </c>
      <c r="L289" s="2">
        <f t="shared" si="14"/>
        <v>0</v>
      </c>
    </row>
    <row r="290" spans="1:12" x14ac:dyDescent="0.25">
      <c r="A290" t="s">
        <v>18</v>
      </c>
      <c r="B290" t="s">
        <v>21</v>
      </c>
      <c r="C290" t="s">
        <v>65</v>
      </c>
      <c r="D290" s="2">
        <v>20</v>
      </c>
      <c r="E290" s="2">
        <v>30</v>
      </c>
      <c r="F290">
        <v>0</v>
      </c>
      <c r="G290">
        <v>0</v>
      </c>
      <c r="H290">
        <f t="shared" si="12"/>
        <v>0</v>
      </c>
      <c r="I290" s="33">
        <v>44930</v>
      </c>
      <c r="J290" t="s">
        <v>35</v>
      </c>
      <c r="K290" s="2">
        <f t="shared" si="13"/>
        <v>0</v>
      </c>
      <c r="L290" s="2">
        <f t="shared" si="14"/>
        <v>0</v>
      </c>
    </row>
    <row r="291" spans="1:12" x14ac:dyDescent="0.25">
      <c r="A291" t="s">
        <v>19</v>
      </c>
      <c r="B291" t="s">
        <v>21</v>
      </c>
      <c r="C291" t="s">
        <v>66</v>
      </c>
      <c r="D291" s="2">
        <v>10</v>
      </c>
      <c r="E291" s="2">
        <v>20</v>
      </c>
      <c r="F291">
        <v>0</v>
      </c>
      <c r="G291">
        <v>0</v>
      </c>
      <c r="H291">
        <f t="shared" si="12"/>
        <v>0</v>
      </c>
      <c r="I291" s="33">
        <v>44930</v>
      </c>
      <c r="J291" t="s">
        <v>35</v>
      </c>
      <c r="K291" s="2">
        <f t="shared" si="13"/>
        <v>0</v>
      </c>
      <c r="L291" s="2">
        <f t="shared" si="14"/>
        <v>0</v>
      </c>
    </row>
    <row r="292" spans="1:12" x14ac:dyDescent="0.25">
      <c r="A292" t="s">
        <v>20</v>
      </c>
      <c r="B292" t="s">
        <v>21</v>
      </c>
      <c r="C292" t="s">
        <v>67</v>
      </c>
      <c r="D292" s="2">
        <v>60</v>
      </c>
      <c r="E292" s="2">
        <v>100</v>
      </c>
      <c r="F292">
        <v>6</v>
      </c>
      <c r="G292">
        <v>4</v>
      </c>
      <c r="H292">
        <f t="shared" si="12"/>
        <v>2</v>
      </c>
      <c r="I292" s="33">
        <v>44930</v>
      </c>
      <c r="J292" t="s">
        <v>35</v>
      </c>
      <c r="K292" s="2">
        <f t="shared" si="13"/>
        <v>200</v>
      </c>
      <c r="L292" s="2">
        <f t="shared" si="14"/>
        <v>80</v>
      </c>
    </row>
    <row r="293" spans="1:12" x14ac:dyDescent="0.25">
      <c r="A293" t="s">
        <v>22</v>
      </c>
      <c r="B293" t="s">
        <v>24</v>
      </c>
      <c r="C293" t="s">
        <v>68</v>
      </c>
      <c r="D293" s="2">
        <v>50</v>
      </c>
      <c r="E293" s="2">
        <v>70</v>
      </c>
      <c r="F293">
        <v>4</v>
      </c>
      <c r="G293">
        <v>0</v>
      </c>
      <c r="H293">
        <f t="shared" si="12"/>
        <v>4</v>
      </c>
      <c r="I293" s="33">
        <v>44930</v>
      </c>
      <c r="J293" t="s">
        <v>35</v>
      </c>
      <c r="K293" s="2">
        <f t="shared" si="13"/>
        <v>280</v>
      </c>
      <c r="L293" s="2">
        <f t="shared" si="14"/>
        <v>80</v>
      </c>
    </row>
    <row r="294" spans="1:12" x14ac:dyDescent="0.25">
      <c r="A294" t="s">
        <v>25</v>
      </c>
      <c r="B294" t="s">
        <v>24</v>
      </c>
      <c r="C294" t="s">
        <v>69</v>
      </c>
      <c r="D294" s="2">
        <v>45</v>
      </c>
      <c r="E294" s="2">
        <v>65</v>
      </c>
      <c r="F294">
        <v>4</v>
      </c>
      <c r="G294">
        <v>4</v>
      </c>
      <c r="H294">
        <f t="shared" si="12"/>
        <v>0</v>
      </c>
      <c r="I294" s="33">
        <v>44930</v>
      </c>
      <c r="J294" t="s">
        <v>35</v>
      </c>
      <c r="K294" s="2">
        <f t="shared" si="13"/>
        <v>0</v>
      </c>
      <c r="L294" s="2">
        <f t="shared" si="14"/>
        <v>0</v>
      </c>
    </row>
    <row r="295" spans="1:12" x14ac:dyDescent="0.25">
      <c r="A295" t="s">
        <v>26</v>
      </c>
      <c r="B295" t="s">
        <v>24</v>
      </c>
      <c r="C295" t="s">
        <v>70</v>
      </c>
      <c r="D295" s="2">
        <v>50</v>
      </c>
      <c r="E295" s="2">
        <v>70</v>
      </c>
      <c r="F295">
        <v>3</v>
      </c>
      <c r="G295">
        <v>0</v>
      </c>
      <c r="H295">
        <f t="shared" si="12"/>
        <v>3</v>
      </c>
      <c r="I295" s="33">
        <v>44930</v>
      </c>
      <c r="J295" t="s">
        <v>35</v>
      </c>
      <c r="K295" s="2">
        <f t="shared" si="13"/>
        <v>210</v>
      </c>
      <c r="L295" s="2">
        <f t="shared" si="14"/>
        <v>60</v>
      </c>
    </row>
    <row r="296" spans="1:12" x14ac:dyDescent="0.25">
      <c r="A296" t="s">
        <v>27</v>
      </c>
      <c r="B296" t="s">
        <v>24</v>
      </c>
      <c r="C296" t="s">
        <v>71</v>
      </c>
      <c r="D296" s="2">
        <v>10</v>
      </c>
      <c r="E296" s="2">
        <v>15</v>
      </c>
      <c r="F296">
        <v>0</v>
      </c>
      <c r="G296">
        <v>0</v>
      </c>
      <c r="H296">
        <f t="shared" si="12"/>
        <v>0</v>
      </c>
      <c r="I296" s="33">
        <v>44930</v>
      </c>
      <c r="J296" t="s">
        <v>35</v>
      </c>
      <c r="K296" s="2">
        <f t="shared" si="13"/>
        <v>0</v>
      </c>
      <c r="L296" s="2">
        <f t="shared" si="14"/>
        <v>0</v>
      </c>
    </row>
    <row r="297" spans="1:12" x14ac:dyDescent="0.25">
      <c r="A297" t="s">
        <v>28</v>
      </c>
      <c r="B297" t="s">
        <v>24</v>
      </c>
      <c r="C297" t="s">
        <v>72</v>
      </c>
      <c r="D297" s="2">
        <v>20</v>
      </c>
      <c r="E297" s="2">
        <v>25</v>
      </c>
      <c r="F297">
        <v>0</v>
      </c>
      <c r="G297">
        <v>0</v>
      </c>
      <c r="H297">
        <f t="shared" si="12"/>
        <v>0</v>
      </c>
      <c r="I297" s="33">
        <v>44930</v>
      </c>
      <c r="J297" t="s">
        <v>35</v>
      </c>
      <c r="K297" s="2">
        <f t="shared" si="13"/>
        <v>0</v>
      </c>
      <c r="L297" s="2">
        <f t="shared" si="14"/>
        <v>0</v>
      </c>
    </row>
    <row r="298" spans="1:12" x14ac:dyDescent="0.25">
      <c r="A298" t="s">
        <v>29</v>
      </c>
      <c r="B298" t="s">
        <v>30</v>
      </c>
      <c r="C298" t="s">
        <v>73</v>
      </c>
      <c r="D298" s="2">
        <v>25</v>
      </c>
      <c r="E298" s="2">
        <v>30</v>
      </c>
      <c r="F298">
        <v>13</v>
      </c>
      <c r="G298">
        <v>9</v>
      </c>
      <c r="H298">
        <f t="shared" si="12"/>
        <v>4</v>
      </c>
      <c r="I298" s="33">
        <v>44930</v>
      </c>
      <c r="J298" t="s">
        <v>35</v>
      </c>
      <c r="K298" s="2">
        <f t="shared" si="13"/>
        <v>120</v>
      </c>
      <c r="L298" s="2">
        <f t="shared" si="14"/>
        <v>20</v>
      </c>
    </row>
    <row r="299" spans="1:12" x14ac:dyDescent="0.25">
      <c r="A299" t="s">
        <v>31</v>
      </c>
      <c r="B299" t="s">
        <v>30</v>
      </c>
      <c r="C299" t="s">
        <v>74</v>
      </c>
      <c r="D299" s="2">
        <v>25</v>
      </c>
      <c r="E299" s="2">
        <v>30</v>
      </c>
      <c r="F299">
        <v>9</v>
      </c>
      <c r="G299">
        <v>6</v>
      </c>
      <c r="H299">
        <f t="shared" si="12"/>
        <v>3</v>
      </c>
      <c r="I299" s="33">
        <v>44930</v>
      </c>
      <c r="J299" t="s">
        <v>35</v>
      </c>
      <c r="K299" s="2">
        <f t="shared" si="13"/>
        <v>90</v>
      </c>
      <c r="L299" s="2">
        <f t="shared" si="14"/>
        <v>15</v>
      </c>
    </row>
    <row r="300" spans="1:12" x14ac:dyDescent="0.25">
      <c r="A300" t="s">
        <v>32</v>
      </c>
      <c r="B300" t="s">
        <v>30</v>
      </c>
      <c r="C300" t="s">
        <v>75</v>
      </c>
      <c r="D300" s="2">
        <v>25</v>
      </c>
      <c r="E300" s="2">
        <v>30</v>
      </c>
      <c r="F300">
        <v>5</v>
      </c>
      <c r="G300">
        <v>5</v>
      </c>
      <c r="H300">
        <f t="shared" si="12"/>
        <v>0</v>
      </c>
      <c r="I300" s="33">
        <v>44930</v>
      </c>
      <c r="J300" t="s">
        <v>35</v>
      </c>
      <c r="K300" s="2">
        <f t="shared" si="13"/>
        <v>0</v>
      </c>
      <c r="L300" s="2">
        <f t="shared" si="14"/>
        <v>0</v>
      </c>
    </row>
    <row r="301" spans="1:12" x14ac:dyDescent="0.25">
      <c r="A301" t="s">
        <v>33</v>
      </c>
      <c r="B301" t="s">
        <v>30</v>
      </c>
      <c r="C301" t="s">
        <v>76</v>
      </c>
      <c r="D301" s="2">
        <v>30</v>
      </c>
      <c r="E301" s="2">
        <v>35</v>
      </c>
      <c r="F301">
        <v>0</v>
      </c>
      <c r="G301">
        <v>0</v>
      </c>
      <c r="H301">
        <f t="shared" si="12"/>
        <v>0</v>
      </c>
      <c r="I301" s="33">
        <v>44930</v>
      </c>
      <c r="J301" t="s">
        <v>35</v>
      </c>
      <c r="K301" s="2">
        <f t="shared" si="13"/>
        <v>0</v>
      </c>
      <c r="L301" s="2">
        <f t="shared" si="14"/>
        <v>0</v>
      </c>
    </row>
    <row r="302" spans="1:12" x14ac:dyDescent="0.25">
      <c r="A302" t="s">
        <v>2</v>
      </c>
      <c r="B302" t="s">
        <v>3</v>
      </c>
      <c r="C302" t="s">
        <v>48</v>
      </c>
      <c r="D302" s="2">
        <v>100</v>
      </c>
      <c r="E302" s="2">
        <v>200</v>
      </c>
      <c r="F302">
        <v>6</v>
      </c>
      <c r="G302">
        <v>2</v>
      </c>
      <c r="H302">
        <f t="shared" si="12"/>
        <v>4</v>
      </c>
      <c r="I302" s="33">
        <v>44931</v>
      </c>
      <c r="J302" t="s">
        <v>36</v>
      </c>
      <c r="K302" s="2">
        <f t="shared" si="13"/>
        <v>800</v>
      </c>
      <c r="L302" s="2">
        <f t="shared" si="14"/>
        <v>400</v>
      </c>
    </row>
    <row r="303" spans="1:12" x14ac:dyDescent="0.25">
      <c r="A303" t="s">
        <v>7</v>
      </c>
      <c r="B303" t="s">
        <v>3</v>
      </c>
      <c r="C303" t="s">
        <v>77</v>
      </c>
      <c r="D303" s="2">
        <v>200</v>
      </c>
      <c r="E303" s="2">
        <v>300</v>
      </c>
      <c r="F303">
        <v>3</v>
      </c>
      <c r="G303">
        <v>2</v>
      </c>
      <c r="H303">
        <f t="shared" si="12"/>
        <v>1</v>
      </c>
      <c r="I303" s="33">
        <v>44931</v>
      </c>
      <c r="J303" t="s">
        <v>36</v>
      </c>
      <c r="K303" s="2">
        <f t="shared" si="13"/>
        <v>300</v>
      </c>
      <c r="L303" s="2">
        <f t="shared" si="14"/>
        <v>100</v>
      </c>
    </row>
    <row r="304" spans="1:12" x14ac:dyDescent="0.25">
      <c r="A304" t="s">
        <v>23</v>
      </c>
      <c r="B304" t="s">
        <v>3</v>
      </c>
      <c r="C304" t="s">
        <v>52</v>
      </c>
      <c r="D304" s="2">
        <v>150</v>
      </c>
      <c r="E304" s="2">
        <v>250</v>
      </c>
      <c r="F304">
        <v>3</v>
      </c>
      <c r="G304">
        <v>2</v>
      </c>
      <c r="H304">
        <f t="shared" si="12"/>
        <v>1</v>
      </c>
      <c r="I304" s="33">
        <v>44931</v>
      </c>
      <c r="J304" t="s">
        <v>36</v>
      </c>
      <c r="K304" s="2">
        <f t="shared" si="13"/>
        <v>250</v>
      </c>
      <c r="L304" s="2">
        <f t="shared" si="14"/>
        <v>100</v>
      </c>
    </row>
    <row r="305" spans="1:12" x14ac:dyDescent="0.25">
      <c r="A305" t="s">
        <v>9</v>
      </c>
      <c r="B305" t="s">
        <v>3</v>
      </c>
      <c r="C305" t="s">
        <v>53</v>
      </c>
      <c r="D305" s="2">
        <v>100</v>
      </c>
      <c r="E305" s="2">
        <v>200</v>
      </c>
      <c r="F305">
        <v>2</v>
      </c>
      <c r="G305">
        <v>2</v>
      </c>
      <c r="H305">
        <f t="shared" si="12"/>
        <v>0</v>
      </c>
      <c r="I305" s="33">
        <v>44931</v>
      </c>
      <c r="J305" t="s">
        <v>36</v>
      </c>
      <c r="K305" s="2">
        <f t="shared" si="13"/>
        <v>0</v>
      </c>
      <c r="L305" s="2">
        <f t="shared" si="14"/>
        <v>0</v>
      </c>
    </row>
    <row r="306" spans="1:12" x14ac:dyDescent="0.25">
      <c r="A306" t="s">
        <v>2</v>
      </c>
      <c r="B306" t="s">
        <v>12</v>
      </c>
      <c r="C306" t="s">
        <v>49</v>
      </c>
      <c r="D306" s="2">
        <v>250</v>
      </c>
      <c r="E306" s="2">
        <v>350</v>
      </c>
      <c r="F306">
        <v>3</v>
      </c>
      <c r="G306">
        <v>2</v>
      </c>
      <c r="H306">
        <f t="shared" si="12"/>
        <v>1</v>
      </c>
      <c r="I306" s="33">
        <v>44931</v>
      </c>
      <c r="J306" t="s">
        <v>36</v>
      </c>
      <c r="K306" s="2">
        <f t="shared" si="13"/>
        <v>350</v>
      </c>
      <c r="L306" s="2">
        <f t="shared" si="14"/>
        <v>100</v>
      </c>
    </row>
    <row r="307" spans="1:12" x14ac:dyDescent="0.25">
      <c r="A307" t="s">
        <v>7</v>
      </c>
      <c r="B307" t="s">
        <v>12</v>
      </c>
      <c r="C307" t="s">
        <v>54</v>
      </c>
      <c r="D307" s="2">
        <v>300</v>
      </c>
      <c r="E307" s="2">
        <v>400</v>
      </c>
      <c r="F307">
        <v>1</v>
      </c>
      <c r="G307">
        <v>0</v>
      </c>
      <c r="H307">
        <f t="shared" si="12"/>
        <v>1</v>
      </c>
      <c r="I307" s="33">
        <v>44931</v>
      </c>
      <c r="J307" t="s">
        <v>36</v>
      </c>
      <c r="K307" s="2">
        <f t="shared" si="13"/>
        <v>400</v>
      </c>
      <c r="L307" s="2">
        <f t="shared" si="14"/>
        <v>100</v>
      </c>
    </row>
    <row r="308" spans="1:12" x14ac:dyDescent="0.25">
      <c r="A308" t="s">
        <v>8</v>
      </c>
      <c r="B308" t="s">
        <v>12</v>
      </c>
      <c r="C308" t="s">
        <v>55</v>
      </c>
      <c r="D308" s="2">
        <v>250</v>
      </c>
      <c r="E308" s="2">
        <v>350</v>
      </c>
      <c r="F308">
        <v>3</v>
      </c>
      <c r="G308">
        <v>2</v>
      </c>
      <c r="H308">
        <f t="shared" si="12"/>
        <v>1</v>
      </c>
      <c r="I308" s="33">
        <v>44931</v>
      </c>
      <c r="J308" t="s">
        <v>36</v>
      </c>
      <c r="K308" s="2">
        <f t="shared" si="13"/>
        <v>350</v>
      </c>
      <c r="L308" s="2">
        <f t="shared" si="14"/>
        <v>100</v>
      </c>
    </row>
    <row r="309" spans="1:12" x14ac:dyDescent="0.25">
      <c r="A309" t="s">
        <v>9</v>
      </c>
      <c r="B309" t="s">
        <v>12</v>
      </c>
      <c r="C309" t="s">
        <v>56</v>
      </c>
      <c r="D309" s="2">
        <v>250</v>
      </c>
      <c r="E309" s="2">
        <v>350</v>
      </c>
      <c r="F309">
        <v>1</v>
      </c>
      <c r="G309">
        <v>1</v>
      </c>
      <c r="H309">
        <f t="shared" si="12"/>
        <v>0</v>
      </c>
      <c r="I309" s="33">
        <v>44931</v>
      </c>
      <c r="J309" t="s">
        <v>36</v>
      </c>
      <c r="K309" s="2">
        <f t="shared" si="13"/>
        <v>0</v>
      </c>
      <c r="L309" s="2">
        <f t="shared" si="14"/>
        <v>0</v>
      </c>
    </row>
    <row r="310" spans="1:12" x14ac:dyDescent="0.25">
      <c r="A310" t="s">
        <v>13</v>
      </c>
      <c r="B310" t="s">
        <v>12</v>
      </c>
      <c r="C310" t="s">
        <v>57</v>
      </c>
      <c r="D310" s="2">
        <v>300</v>
      </c>
      <c r="E310" s="2">
        <v>450</v>
      </c>
      <c r="F310">
        <v>2</v>
      </c>
      <c r="G310">
        <v>1</v>
      </c>
      <c r="H310">
        <f t="shared" si="12"/>
        <v>1</v>
      </c>
      <c r="I310" s="33">
        <v>44931</v>
      </c>
      <c r="J310" t="s">
        <v>36</v>
      </c>
      <c r="K310" s="2">
        <f t="shared" si="13"/>
        <v>450</v>
      </c>
      <c r="L310" s="2">
        <f t="shared" si="14"/>
        <v>150</v>
      </c>
    </row>
    <row r="311" spans="1:12" x14ac:dyDescent="0.25">
      <c r="A311" t="s">
        <v>14</v>
      </c>
      <c r="B311" t="s">
        <v>16</v>
      </c>
      <c r="C311" t="s">
        <v>50</v>
      </c>
      <c r="D311" s="2">
        <v>320</v>
      </c>
      <c r="E311" s="2">
        <v>400</v>
      </c>
      <c r="F311">
        <v>0</v>
      </c>
      <c r="G311">
        <v>0</v>
      </c>
      <c r="H311">
        <f t="shared" si="12"/>
        <v>0</v>
      </c>
      <c r="I311" s="33">
        <v>44931</v>
      </c>
      <c r="J311" t="s">
        <v>36</v>
      </c>
      <c r="K311" s="2">
        <f t="shared" si="13"/>
        <v>0</v>
      </c>
      <c r="L311" s="2">
        <f t="shared" si="14"/>
        <v>0</v>
      </c>
    </row>
    <row r="312" spans="1:12" x14ac:dyDescent="0.25">
      <c r="A312" t="s">
        <v>15</v>
      </c>
      <c r="B312" t="s">
        <v>16</v>
      </c>
      <c r="C312" t="s">
        <v>58</v>
      </c>
      <c r="D312" s="2">
        <v>100</v>
      </c>
      <c r="E312" s="2">
        <v>150</v>
      </c>
      <c r="F312">
        <v>6</v>
      </c>
      <c r="G312">
        <v>5</v>
      </c>
      <c r="H312">
        <f t="shared" si="12"/>
        <v>1</v>
      </c>
      <c r="I312" s="33">
        <v>44931</v>
      </c>
      <c r="J312" t="s">
        <v>36</v>
      </c>
      <c r="K312" s="2">
        <f t="shared" si="13"/>
        <v>150</v>
      </c>
      <c r="L312" s="2">
        <f t="shared" si="14"/>
        <v>50</v>
      </c>
    </row>
    <row r="313" spans="1:12" x14ac:dyDescent="0.25">
      <c r="A313" t="s">
        <v>2</v>
      </c>
      <c r="B313" t="s">
        <v>21</v>
      </c>
      <c r="C313" t="s">
        <v>51</v>
      </c>
      <c r="D313" s="2">
        <v>25</v>
      </c>
      <c r="E313" s="2">
        <v>40</v>
      </c>
      <c r="F313">
        <v>19</v>
      </c>
      <c r="G313">
        <v>1</v>
      </c>
      <c r="H313">
        <f t="shared" si="12"/>
        <v>18</v>
      </c>
      <c r="I313" s="33">
        <v>44931</v>
      </c>
      <c r="J313" t="s">
        <v>36</v>
      </c>
      <c r="K313" s="2">
        <f t="shared" si="13"/>
        <v>720</v>
      </c>
      <c r="L313" s="2">
        <f t="shared" si="14"/>
        <v>270</v>
      </c>
    </row>
    <row r="314" spans="1:12" x14ac:dyDescent="0.25">
      <c r="A314" t="s">
        <v>7</v>
      </c>
      <c r="B314" t="s">
        <v>21</v>
      </c>
      <c r="C314" t="s">
        <v>59</v>
      </c>
      <c r="D314" s="2">
        <v>30</v>
      </c>
      <c r="E314" s="2">
        <v>50</v>
      </c>
      <c r="F314">
        <v>8</v>
      </c>
      <c r="G314">
        <v>8</v>
      </c>
      <c r="H314">
        <f t="shared" si="12"/>
        <v>0</v>
      </c>
      <c r="I314" s="33">
        <v>44931</v>
      </c>
      <c r="J314" t="s">
        <v>36</v>
      </c>
      <c r="K314" s="2">
        <f t="shared" si="13"/>
        <v>0</v>
      </c>
      <c r="L314" s="2">
        <f t="shared" si="14"/>
        <v>0</v>
      </c>
    </row>
    <row r="315" spans="1:12" x14ac:dyDescent="0.25">
      <c r="A315" t="s">
        <v>9</v>
      </c>
      <c r="B315" t="s">
        <v>21</v>
      </c>
      <c r="C315" t="s">
        <v>60</v>
      </c>
      <c r="D315" s="2">
        <v>25</v>
      </c>
      <c r="E315" s="2">
        <v>40</v>
      </c>
      <c r="F315">
        <v>15</v>
      </c>
      <c r="G315">
        <v>12</v>
      </c>
      <c r="H315">
        <f t="shared" si="12"/>
        <v>3</v>
      </c>
      <c r="I315" s="33">
        <v>44931</v>
      </c>
      <c r="J315" t="s">
        <v>36</v>
      </c>
      <c r="K315" s="2">
        <f t="shared" si="13"/>
        <v>120</v>
      </c>
      <c r="L315" s="2">
        <f t="shared" si="14"/>
        <v>45</v>
      </c>
    </row>
    <row r="316" spans="1:12" x14ac:dyDescent="0.25">
      <c r="A316" t="s">
        <v>23</v>
      </c>
      <c r="B316" t="s">
        <v>21</v>
      </c>
      <c r="C316" t="s">
        <v>61</v>
      </c>
      <c r="D316" s="2">
        <v>25</v>
      </c>
      <c r="E316" s="2">
        <v>40</v>
      </c>
      <c r="F316">
        <v>20</v>
      </c>
      <c r="G316">
        <v>11</v>
      </c>
      <c r="H316">
        <f t="shared" si="12"/>
        <v>9</v>
      </c>
      <c r="I316" s="33">
        <v>44931</v>
      </c>
      <c r="J316" t="s">
        <v>36</v>
      </c>
      <c r="K316" s="2">
        <f t="shared" si="13"/>
        <v>360</v>
      </c>
      <c r="L316" s="2">
        <f t="shared" si="14"/>
        <v>135</v>
      </c>
    </row>
    <row r="317" spans="1:12" x14ac:dyDescent="0.25">
      <c r="A317" t="s">
        <v>13</v>
      </c>
      <c r="B317" t="s">
        <v>21</v>
      </c>
      <c r="C317" t="s">
        <v>62</v>
      </c>
      <c r="D317" s="2">
        <v>30</v>
      </c>
      <c r="E317" s="2">
        <v>55</v>
      </c>
      <c r="F317">
        <v>8</v>
      </c>
      <c r="G317">
        <v>8</v>
      </c>
      <c r="H317">
        <f t="shared" si="12"/>
        <v>0</v>
      </c>
      <c r="I317" s="33">
        <v>44931</v>
      </c>
      <c r="J317" t="s">
        <v>36</v>
      </c>
      <c r="K317" s="2">
        <f t="shared" si="13"/>
        <v>0</v>
      </c>
      <c r="L317" s="2">
        <f t="shared" si="14"/>
        <v>0</v>
      </c>
    </row>
    <row r="318" spans="1:12" x14ac:dyDescent="0.25">
      <c r="A318" t="s">
        <v>17</v>
      </c>
      <c r="B318" t="s">
        <v>21</v>
      </c>
      <c r="C318" t="s">
        <v>63</v>
      </c>
      <c r="D318" s="2">
        <v>40</v>
      </c>
      <c r="E318" s="2">
        <v>65</v>
      </c>
      <c r="F318">
        <v>19</v>
      </c>
      <c r="G318">
        <v>8</v>
      </c>
      <c r="H318">
        <f t="shared" si="12"/>
        <v>11</v>
      </c>
      <c r="I318" s="33">
        <v>44931</v>
      </c>
      <c r="J318" t="s">
        <v>36</v>
      </c>
      <c r="K318" s="2">
        <f t="shared" si="13"/>
        <v>715</v>
      </c>
      <c r="L318" s="2">
        <f t="shared" si="14"/>
        <v>275</v>
      </c>
    </row>
    <row r="319" spans="1:12" x14ac:dyDescent="0.25">
      <c r="A319" t="s">
        <v>34</v>
      </c>
      <c r="B319" t="s">
        <v>21</v>
      </c>
      <c r="C319" t="s">
        <v>64</v>
      </c>
      <c r="D319" s="2">
        <v>50</v>
      </c>
      <c r="E319" s="2">
        <v>70</v>
      </c>
      <c r="F319">
        <v>0</v>
      </c>
      <c r="G319">
        <v>0</v>
      </c>
      <c r="H319">
        <f t="shared" si="12"/>
        <v>0</v>
      </c>
      <c r="I319" s="33">
        <v>44931</v>
      </c>
      <c r="J319" t="s">
        <v>36</v>
      </c>
      <c r="K319" s="2">
        <f t="shared" si="13"/>
        <v>0</v>
      </c>
      <c r="L319" s="2">
        <f t="shared" si="14"/>
        <v>0</v>
      </c>
    </row>
    <row r="320" spans="1:12" x14ac:dyDescent="0.25">
      <c r="A320" t="s">
        <v>18</v>
      </c>
      <c r="B320" t="s">
        <v>21</v>
      </c>
      <c r="C320" t="s">
        <v>65</v>
      </c>
      <c r="D320" s="2">
        <v>20</v>
      </c>
      <c r="E320" s="2">
        <v>30</v>
      </c>
      <c r="F320">
        <v>22</v>
      </c>
      <c r="G320">
        <v>20</v>
      </c>
      <c r="H320">
        <f t="shared" si="12"/>
        <v>2</v>
      </c>
      <c r="I320" s="33">
        <v>44931</v>
      </c>
      <c r="J320" t="s">
        <v>36</v>
      </c>
      <c r="K320" s="2">
        <f t="shared" si="13"/>
        <v>60</v>
      </c>
      <c r="L320" s="2">
        <f t="shared" si="14"/>
        <v>20</v>
      </c>
    </row>
    <row r="321" spans="1:12" x14ac:dyDescent="0.25">
      <c r="A321" t="s">
        <v>19</v>
      </c>
      <c r="B321" t="s">
        <v>21</v>
      </c>
      <c r="C321" t="s">
        <v>66</v>
      </c>
      <c r="D321" s="2">
        <v>10</v>
      </c>
      <c r="E321" s="2">
        <v>20</v>
      </c>
      <c r="F321">
        <v>11</v>
      </c>
      <c r="G321">
        <v>11</v>
      </c>
      <c r="H321">
        <f t="shared" si="12"/>
        <v>0</v>
      </c>
      <c r="I321" s="33">
        <v>44931</v>
      </c>
      <c r="J321" t="s">
        <v>36</v>
      </c>
      <c r="K321" s="2">
        <f t="shared" si="13"/>
        <v>0</v>
      </c>
      <c r="L321" s="2">
        <f t="shared" si="14"/>
        <v>0</v>
      </c>
    </row>
    <row r="322" spans="1:12" x14ac:dyDescent="0.25">
      <c r="A322" t="s">
        <v>20</v>
      </c>
      <c r="B322" t="s">
        <v>21</v>
      </c>
      <c r="C322" t="s">
        <v>67</v>
      </c>
      <c r="D322" s="2">
        <v>60</v>
      </c>
      <c r="E322" s="2">
        <v>100</v>
      </c>
      <c r="F322">
        <v>4</v>
      </c>
      <c r="G322">
        <v>4</v>
      </c>
      <c r="H322">
        <f t="shared" ref="H322:H385" si="15">F322-G322</f>
        <v>0</v>
      </c>
      <c r="I322" s="33">
        <v>44931</v>
      </c>
      <c r="J322" t="s">
        <v>36</v>
      </c>
      <c r="K322" s="2">
        <f t="shared" ref="K322:K385" si="16">E322*H322</f>
        <v>0</v>
      </c>
      <c r="L322" s="2">
        <f t="shared" ref="L322:L385" si="17">(E322-D322)*H322</f>
        <v>0</v>
      </c>
    </row>
    <row r="323" spans="1:12" x14ac:dyDescent="0.25">
      <c r="A323" t="s">
        <v>22</v>
      </c>
      <c r="B323" t="s">
        <v>24</v>
      </c>
      <c r="C323" t="s">
        <v>68</v>
      </c>
      <c r="D323" s="2">
        <v>50</v>
      </c>
      <c r="E323" s="2">
        <v>70</v>
      </c>
      <c r="F323">
        <v>4</v>
      </c>
      <c r="G323">
        <v>0</v>
      </c>
      <c r="H323">
        <f t="shared" si="15"/>
        <v>4</v>
      </c>
      <c r="I323" s="33">
        <v>44931</v>
      </c>
      <c r="J323" t="s">
        <v>36</v>
      </c>
      <c r="K323" s="2">
        <f t="shared" si="16"/>
        <v>280</v>
      </c>
      <c r="L323" s="2">
        <f t="shared" si="17"/>
        <v>80</v>
      </c>
    </row>
    <row r="324" spans="1:12" x14ac:dyDescent="0.25">
      <c r="A324" t="s">
        <v>25</v>
      </c>
      <c r="B324" t="s">
        <v>24</v>
      </c>
      <c r="C324" t="s">
        <v>69</v>
      </c>
      <c r="D324" s="2">
        <v>45</v>
      </c>
      <c r="E324" s="2">
        <v>65</v>
      </c>
      <c r="F324">
        <v>4</v>
      </c>
      <c r="G324">
        <v>4</v>
      </c>
      <c r="H324">
        <f t="shared" si="15"/>
        <v>0</v>
      </c>
      <c r="I324" s="33">
        <v>44931</v>
      </c>
      <c r="J324" t="s">
        <v>36</v>
      </c>
      <c r="K324" s="2">
        <f t="shared" si="16"/>
        <v>0</v>
      </c>
      <c r="L324" s="2">
        <f t="shared" si="17"/>
        <v>0</v>
      </c>
    </row>
    <row r="325" spans="1:12" x14ac:dyDescent="0.25">
      <c r="A325" t="s">
        <v>26</v>
      </c>
      <c r="B325" t="s">
        <v>24</v>
      </c>
      <c r="C325" t="s">
        <v>70</v>
      </c>
      <c r="D325" s="2">
        <v>50</v>
      </c>
      <c r="E325" s="2">
        <v>70</v>
      </c>
      <c r="F325">
        <v>0</v>
      </c>
      <c r="G325">
        <v>0</v>
      </c>
      <c r="H325">
        <f t="shared" si="15"/>
        <v>0</v>
      </c>
      <c r="I325" s="33">
        <v>44931</v>
      </c>
      <c r="J325" t="s">
        <v>36</v>
      </c>
      <c r="K325" s="2">
        <f t="shared" si="16"/>
        <v>0</v>
      </c>
      <c r="L325" s="2">
        <f t="shared" si="17"/>
        <v>0</v>
      </c>
    </row>
    <row r="326" spans="1:12" x14ac:dyDescent="0.25">
      <c r="A326" t="s">
        <v>27</v>
      </c>
      <c r="B326" t="s">
        <v>24</v>
      </c>
      <c r="C326" t="s">
        <v>71</v>
      </c>
      <c r="D326" s="2">
        <v>10</v>
      </c>
      <c r="E326" s="2">
        <v>15</v>
      </c>
      <c r="F326">
        <v>10</v>
      </c>
      <c r="G326">
        <v>5</v>
      </c>
      <c r="H326">
        <f t="shared" si="15"/>
        <v>5</v>
      </c>
      <c r="I326" s="33">
        <v>44931</v>
      </c>
      <c r="J326" t="s">
        <v>36</v>
      </c>
      <c r="K326" s="2">
        <f t="shared" si="16"/>
        <v>75</v>
      </c>
      <c r="L326" s="2">
        <f t="shared" si="17"/>
        <v>25</v>
      </c>
    </row>
    <row r="327" spans="1:12" x14ac:dyDescent="0.25">
      <c r="A327" t="s">
        <v>28</v>
      </c>
      <c r="B327" t="s">
        <v>24</v>
      </c>
      <c r="C327" t="s">
        <v>72</v>
      </c>
      <c r="D327" s="2">
        <v>20</v>
      </c>
      <c r="E327" s="2">
        <v>25</v>
      </c>
      <c r="F327">
        <v>5</v>
      </c>
      <c r="G327">
        <v>2</v>
      </c>
      <c r="H327">
        <f t="shared" si="15"/>
        <v>3</v>
      </c>
      <c r="I327" s="33">
        <v>44931</v>
      </c>
      <c r="J327" t="s">
        <v>36</v>
      </c>
      <c r="K327" s="2">
        <f t="shared" si="16"/>
        <v>75</v>
      </c>
      <c r="L327" s="2">
        <f t="shared" si="17"/>
        <v>15</v>
      </c>
    </row>
    <row r="328" spans="1:12" x14ac:dyDescent="0.25">
      <c r="A328" t="s">
        <v>29</v>
      </c>
      <c r="B328" t="s">
        <v>30</v>
      </c>
      <c r="C328" t="s">
        <v>73</v>
      </c>
      <c r="D328" s="2">
        <v>25</v>
      </c>
      <c r="E328" s="2">
        <v>30</v>
      </c>
      <c r="F328">
        <v>9</v>
      </c>
      <c r="G328">
        <v>6</v>
      </c>
      <c r="H328">
        <f t="shared" si="15"/>
        <v>3</v>
      </c>
      <c r="I328" s="33">
        <v>44931</v>
      </c>
      <c r="J328" t="s">
        <v>36</v>
      </c>
      <c r="K328" s="2">
        <f t="shared" si="16"/>
        <v>90</v>
      </c>
      <c r="L328" s="2">
        <f t="shared" si="17"/>
        <v>15</v>
      </c>
    </row>
    <row r="329" spans="1:12" x14ac:dyDescent="0.25">
      <c r="A329" t="s">
        <v>31</v>
      </c>
      <c r="B329" t="s">
        <v>30</v>
      </c>
      <c r="C329" t="s">
        <v>74</v>
      </c>
      <c r="D329" s="2">
        <v>25</v>
      </c>
      <c r="E329" s="2">
        <v>30</v>
      </c>
      <c r="F329">
        <v>6</v>
      </c>
      <c r="G329">
        <v>4</v>
      </c>
      <c r="H329">
        <f t="shared" si="15"/>
        <v>2</v>
      </c>
      <c r="I329" s="33">
        <v>44931</v>
      </c>
      <c r="J329" t="s">
        <v>36</v>
      </c>
      <c r="K329" s="2">
        <f t="shared" si="16"/>
        <v>60</v>
      </c>
      <c r="L329" s="2">
        <f t="shared" si="17"/>
        <v>10</v>
      </c>
    </row>
    <row r="330" spans="1:12" x14ac:dyDescent="0.25">
      <c r="A330" t="s">
        <v>32</v>
      </c>
      <c r="B330" t="s">
        <v>30</v>
      </c>
      <c r="C330" t="s">
        <v>75</v>
      </c>
      <c r="D330" s="2">
        <v>25</v>
      </c>
      <c r="E330" s="2">
        <v>30</v>
      </c>
      <c r="F330">
        <v>5</v>
      </c>
      <c r="G330">
        <v>5</v>
      </c>
      <c r="H330">
        <f t="shared" si="15"/>
        <v>0</v>
      </c>
      <c r="I330" s="33">
        <v>44931</v>
      </c>
      <c r="J330" t="s">
        <v>36</v>
      </c>
      <c r="K330" s="2">
        <f t="shared" si="16"/>
        <v>0</v>
      </c>
      <c r="L330" s="2">
        <f t="shared" si="17"/>
        <v>0</v>
      </c>
    </row>
    <row r="331" spans="1:12" x14ac:dyDescent="0.25">
      <c r="A331" t="s">
        <v>33</v>
      </c>
      <c r="B331" t="s">
        <v>30</v>
      </c>
      <c r="C331" t="s">
        <v>76</v>
      </c>
      <c r="D331" s="2">
        <v>30</v>
      </c>
      <c r="E331" s="2">
        <v>35</v>
      </c>
      <c r="F331">
        <v>10</v>
      </c>
      <c r="G331">
        <v>8</v>
      </c>
      <c r="H331">
        <f t="shared" si="15"/>
        <v>2</v>
      </c>
      <c r="I331" s="33">
        <v>44931</v>
      </c>
      <c r="J331" t="s">
        <v>36</v>
      </c>
      <c r="K331" s="2">
        <f t="shared" si="16"/>
        <v>70</v>
      </c>
      <c r="L331" s="2">
        <f t="shared" si="17"/>
        <v>10</v>
      </c>
    </row>
    <row r="332" spans="1:12" x14ac:dyDescent="0.25">
      <c r="A332" t="s">
        <v>2</v>
      </c>
      <c r="B332" t="s">
        <v>3</v>
      </c>
      <c r="C332" t="s">
        <v>48</v>
      </c>
      <c r="D332" s="2">
        <v>100</v>
      </c>
      <c r="E332" s="2">
        <v>200</v>
      </c>
      <c r="F332">
        <v>2</v>
      </c>
      <c r="G332">
        <v>0</v>
      </c>
      <c r="H332">
        <f t="shared" si="15"/>
        <v>2</v>
      </c>
      <c r="I332" s="33">
        <v>44932</v>
      </c>
      <c r="J332" t="s">
        <v>37</v>
      </c>
      <c r="K332" s="2">
        <f t="shared" si="16"/>
        <v>400</v>
      </c>
      <c r="L332" s="2">
        <f t="shared" si="17"/>
        <v>200</v>
      </c>
    </row>
    <row r="333" spans="1:12" x14ac:dyDescent="0.25">
      <c r="A333" t="s">
        <v>7</v>
      </c>
      <c r="B333" t="s">
        <v>3</v>
      </c>
      <c r="C333" t="s">
        <v>77</v>
      </c>
      <c r="D333" s="2">
        <v>200</v>
      </c>
      <c r="E333" s="2">
        <v>300</v>
      </c>
      <c r="F333">
        <v>2</v>
      </c>
      <c r="G333">
        <v>0</v>
      </c>
      <c r="H333">
        <f t="shared" si="15"/>
        <v>2</v>
      </c>
      <c r="I333" s="33">
        <v>44932</v>
      </c>
      <c r="J333" t="s">
        <v>37</v>
      </c>
      <c r="K333" s="2">
        <f t="shared" si="16"/>
        <v>600</v>
      </c>
      <c r="L333" s="2">
        <f t="shared" si="17"/>
        <v>200</v>
      </c>
    </row>
    <row r="334" spans="1:12" x14ac:dyDescent="0.25">
      <c r="A334" t="s">
        <v>23</v>
      </c>
      <c r="B334" t="s">
        <v>3</v>
      </c>
      <c r="C334" t="s">
        <v>52</v>
      </c>
      <c r="D334" s="2">
        <v>150</v>
      </c>
      <c r="E334" s="2">
        <v>250</v>
      </c>
      <c r="F334">
        <v>2</v>
      </c>
      <c r="G334">
        <v>0</v>
      </c>
      <c r="H334">
        <f t="shared" si="15"/>
        <v>2</v>
      </c>
      <c r="I334" s="33">
        <v>44932</v>
      </c>
      <c r="J334" t="s">
        <v>37</v>
      </c>
      <c r="K334" s="2">
        <f t="shared" si="16"/>
        <v>500</v>
      </c>
      <c r="L334" s="2">
        <f t="shared" si="17"/>
        <v>200</v>
      </c>
    </row>
    <row r="335" spans="1:12" x14ac:dyDescent="0.25">
      <c r="A335" t="s">
        <v>9</v>
      </c>
      <c r="B335" t="s">
        <v>3</v>
      </c>
      <c r="C335" t="s">
        <v>53</v>
      </c>
      <c r="D335" s="2">
        <v>100</v>
      </c>
      <c r="E335" s="2">
        <v>200</v>
      </c>
      <c r="F335">
        <v>2</v>
      </c>
      <c r="G335">
        <v>0</v>
      </c>
      <c r="H335">
        <f t="shared" si="15"/>
        <v>2</v>
      </c>
      <c r="I335" s="33">
        <v>44932</v>
      </c>
      <c r="J335" t="s">
        <v>37</v>
      </c>
      <c r="K335" s="2">
        <f t="shared" si="16"/>
        <v>400</v>
      </c>
      <c r="L335" s="2">
        <f t="shared" si="17"/>
        <v>200</v>
      </c>
    </row>
    <row r="336" spans="1:12" x14ac:dyDescent="0.25">
      <c r="A336" t="s">
        <v>2</v>
      </c>
      <c r="B336" t="s">
        <v>12</v>
      </c>
      <c r="C336" t="s">
        <v>49</v>
      </c>
      <c r="D336" s="2">
        <v>250</v>
      </c>
      <c r="E336" s="2">
        <v>350</v>
      </c>
      <c r="F336">
        <v>2</v>
      </c>
      <c r="G336">
        <v>2</v>
      </c>
      <c r="H336">
        <f t="shared" si="15"/>
        <v>0</v>
      </c>
      <c r="I336" s="33">
        <v>44932</v>
      </c>
      <c r="J336" t="s">
        <v>37</v>
      </c>
      <c r="K336" s="2">
        <f t="shared" si="16"/>
        <v>0</v>
      </c>
      <c r="L336" s="2">
        <f t="shared" si="17"/>
        <v>0</v>
      </c>
    </row>
    <row r="337" spans="1:12" x14ac:dyDescent="0.25">
      <c r="A337" t="s">
        <v>7</v>
      </c>
      <c r="B337" t="s">
        <v>12</v>
      </c>
      <c r="C337" t="s">
        <v>54</v>
      </c>
      <c r="D337" s="2">
        <v>300</v>
      </c>
      <c r="E337" s="2">
        <v>400</v>
      </c>
      <c r="F337">
        <v>0</v>
      </c>
      <c r="G337">
        <v>0</v>
      </c>
      <c r="H337">
        <f t="shared" si="15"/>
        <v>0</v>
      </c>
      <c r="I337" s="33">
        <v>44932</v>
      </c>
      <c r="J337" t="s">
        <v>37</v>
      </c>
      <c r="K337" s="2">
        <f t="shared" si="16"/>
        <v>0</v>
      </c>
      <c r="L337" s="2">
        <f t="shared" si="17"/>
        <v>0</v>
      </c>
    </row>
    <row r="338" spans="1:12" x14ac:dyDescent="0.25">
      <c r="A338" t="s">
        <v>8</v>
      </c>
      <c r="B338" t="s">
        <v>12</v>
      </c>
      <c r="C338" t="s">
        <v>55</v>
      </c>
      <c r="D338" s="2">
        <v>250</v>
      </c>
      <c r="E338" s="2">
        <v>350</v>
      </c>
      <c r="F338">
        <v>2</v>
      </c>
      <c r="G338">
        <v>1</v>
      </c>
      <c r="H338">
        <f t="shared" si="15"/>
        <v>1</v>
      </c>
      <c r="I338" s="33">
        <v>44932</v>
      </c>
      <c r="J338" t="s">
        <v>37</v>
      </c>
      <c r="K338" s="2">
        <f t="shared" si="16"/>
        <v>350</v>
      </c>
      <c r="L338" s="2">
        <f t="shared" si="17"/>
        <v>100</v>
      </c>
    </row>
    <row r="339" spans="1:12" x14ac:dyDescent="0.25">
      <c r="A339" t="s">
        <v>9</v>
      </c>
      <c r="B339" t="s">
        <v>12</v>
      </c>
      <c r="C339" t="s">
        <v>56</v>
      </c>
      <c r="D339" s="2">
        <v>250</v>
      </c>
      <c r="E339" s="2">
        <v>350</v>
      </c>
      <c r="F339">
        <v>1</v>
      </c>
      <c r="G339">
        <v>1</v>
      </c>
      <c r="H339">
        <f t="shared" si="15"/>
        <v>0</v>
      </c>
      <c r="I339" s="33">
        <v>44932</v>
      </c>
      <c r="J339" t="s">
        <v>37</v>
      </c>
      <c r="K339" s="2">
        <f t="shared" si="16"/>
        <v>0</v>
      </c>
      <c r="L339" s="2">
        <f t="shared" si="17"/>
        <v>0</v>
      </c>
    </row>
    <row r="340" spans="1:12" x14ac:dyDescent="0.25">
      <c r="A340" t="s">
        <v>13</v>
      </c>
      <c r="B340" t="s">
        <v>12</v>
      </c>
      <c r="C340" t="s">
        <v>57</v>
      </c>
      <c r="D340" s="2">
        <v>300</v>
      </c>
      <c r="E340" s="2">
        <v>450</v>
      </c>
      <c r="F340">
        <v>1</v>
      </c>
      <c r="G340">
        <v>1</v>
      </c>
      <c r="H340">
        <f t="shared" si="15"/>
        <v>0</v>
      </c>
      <c r="I340" s="33">
        <v>44932</v>
      </c>
      <c r="J340" t="s">
        <v>37</v>
      </c>
      <c r="K340" s="2">
        <f t="shared" si="16"/>
        <v>0</v>
      </c>
      <c r="L340" s="2">
        <f t="shared" si="17"/>
        <v>0</v>
      </c>
    </row>
    <row r="341" spans="1:12" x14ac:dyDescent="0.25">
      <c r="A341" t="s">
        <v>14</v>
      </c>
      <c r="B341" t="s">
        <v>16</v>
      </c>
      <c r="C341" t="s">
        <v>50</v>
      </c>
      <c r="D341" s="2">
        <v>320</v>
      </c>
      <c r="E341" s="2">
        <v>400</v>
      </c>
      <c r="F341">
        <v>0</v>
      </c>
      <c r="G341">
        <v>0</v>
      </c>
      <c r="H341">
        <f t="shared" si="15"/>
        <v>0</v>
      </c>
      <c r="I341" s="33">
        <v>44932</v>
      </c>
      <c r="J341" t="s">
        <v>37</v>
      </c>
      <c r="K341" s="2">
        <f t="shared" si="16"/>
        <v>0</v>
      </c>
      <c r="L341" s="2">
        <f t="shared" si="17"/>
        <v>0</v>
      </c>
    </row>
    <row r="342" spans="1:12" x14ac:dyDescent="0.25">
      <c r="A342" t="s">
        <v>15</v>
      </c>
      <c r="B342" t="s">
        <v>16</v>
      </c>
      <c r="C342" t="s">
        <v>58</v>
      </c>
      <c r="D342" s="2">
        <v>100</v>
      </c>
      <c r="E342" s="2">
        <v>150</v>
      </c>
      <c r="F342">
        <v>5</v>
      </c>
      <c r="G342">
        <v>5</v>
      </c>
      <c r="H342">
        <f t="shared" si="15"/>
        <v>0</v>
      </c>
      <c r="I342" s="33">
        <v>44932</v>
      </c>
      <c r="J342" t="s">
        <v>37</v>
      </c>
      <c r="K342" s="2">
        <f t="shared" si="16"/>
        <v>0</v>
      </c>
      <c r="L342" s="2">
        <f t="shared" si="17"/>
        <v>0</v>
      </c>
    </row>
    <row r="343" spans="1:12" x14ac:dyDescent="0.25">
      <c r="A343" t="s">
        <v>2</v>
      </c>
      <c r="B343" t="s">
        <v>21</v>
      </c>
      <c r="C343" t="s">
        <v>51</v>
      </c>
      <c r="D343" s="2">
        <v>25</v>
      </c>
      <c r="E343" s="2">
        <v>40</v>
      </c>
      <c r="F343">
        <v>9</v>
      </c>
      <c r="G343">
        <v>9</v>
      </c>
      <c r="H343">
        <f t="shared" si="15"/>
        <v>0</v>
      </c>
      <c r="I343" s="33">
        <v>44932</v>
      </c>
      <c r="J343" t="s">
        <v>37</v>
      </c>
      <c r="K343" s="2">
        <f t="shared" si="16"/>
        <v>0</v>
      </c>
      <c r="L343" s="2">
        <f t="shared" si="17"/>
        <v>0</v>
      </c>
    </row>
    <row r="344" spans="1:12" x14ac:dyDescent="0.25">
      <c r="A344" t="s">
        <v>7</v>
      </c>
      <c r="B344" t="s">
        <v>21</v>
      </c>
      <c r="C344" t="s">
        <v>59</v>
      </c>
      <c r="D344" s="2">
        <v>30</v>
      </c>
      <c r="E344" s="2">
        <v>50</v>
      </c>
      <c r="F344">
        <v>16</v>
      </c>
      <c r="G344">
        <v>8</v>
      </c>
      <c r="H344">
        <f t="shared" si="15"/>
        <v>8</v>
      </c>
      <c r="I344" s="33">
        <v>44932</v>
      </c>
      <c r="J344" t="s">
        <v>37</v>
      </c>
      <c r="K344" s="2">
        <f t="shared" si="16"/>
        <v>400</v>
      </c>
      <c r="L344" s="2">
        <f t="shared" si="17"/>
        <v>160</v>
      </c>
    </row>
    <row r="345" spans="1:12" x14ac:dyDescent="0.25">
      <c r="A345" t="s">
        <v>9</v>
      </c>
      <c r="B345" t="s">
        <v>21</v>
      </c>
      <c r="C345" t="s">
        <v>60</v>
      </c>
      <c r="D345" s="2">
        <v>25</v>
      </c>
      <c r="E345" s="2">
        <v>40</v>
      </c>
      <c r="F345">
        <v>12</v>
      </c>
      <c r="G345">
        <v>8</v>
      </c>
      <c r="H345">
        <f t="shared" si="15"/>
        <v>4</v>
      </c>
      <c r="I345" s="33">
        <v>44932</v>
      </c>
      <c r="J345" t="s">
        <v>37</v>
      </c>
      <c r="K345" s="2">
        <f t="shared" si="16"/>
        <v>160</v>
      </c>
      <c r="L345" s="2">
        <f t="shared" si="17"/>
        <v>60</v>
      </c>
    </row>
    <row r="346" spans="1:12" x14ac:dyDescent="0.25">
      <c r="A346" t="s">
        <v>23</v>
      </c>
      <c r="B346" t="s">
        <v>21</v>
      </c>
      <c r="C346" t="s">
        <v>61</v>
      </c>
      <c r="D346" s="2">
        <v>25</v>
      </c>
      <c r="E346" s="2">
        <v>40</v>
      </c>
      <c r="F346">
        <v>27</v>
      </c>
      <c r="G346">
        <v>13</v>
      </c>
      <c r="H346">
        <f t="shared" si="15"/>
        <v>14</v>
      </c>
      <c r="I346" s="33">
        <v>44932</v>
      </c>
      <c r="J346" t="s">
        <v>37</v>
      </c>
      <c r="K346" s="2">
        <f t="shared" si="16"/>
        <v>560</v>
      </c>
      <c r="L346" s="2">
        <f t="shared" si="17"/>
        <v>210</v>
      </c>
    </row>
    <row r="347" spans="1:12" x14ac:dyDescent="0.25">
      <c r="A347" t="s">
        <v>13</v>
      </c>
      <c r="B347" t="s">
        <v>21</v>
      </c>
      <c r="C347" t="s">
        <v>62</v>
      </c>
      <c r="D347" s="2">
        <v>30</v>
      </c>
      <c r="E347" s="2">
        <v>55</v>
      </c>
      <c r="F347">
        <v>16</v>
      </c>
      <c r="G347">
        <v>8</v>
      </c>
      <c r="H347">
        <f t="shared" si="15"/>
        <v>8</v>
      </c>
      <c r="I347" s="33">
        <v>44932</v>
      </c>
      <c r="J347" t="s">
        <v>37</v>
      </c>
      <c r="K347" s="2">
        <f t="shared" si="16"/>
        <v>440</v>
      </c>
      <c r="L347" s="2">
        <f t="shared" si="17"/>
        <v>200</v>
      </c>
    </row>
    <row r="348" spans="1:12" x14ac:dyDescent="0.25">
      <c r="A348" t="s">
        <v>17</v>
      </c>
      <c r="B348" t="s">
        <v>21</v>
      </c>
      <c r="C348" t="s">
        <v>63</v>
      </c>
      <c r="D348" s="2">
        <v>40</v>
      </c>
      <c r="E348" s="2">
        <v>65</v>
      </c>
      <c r="F348">
        <v>8</v>
      </c>
      <c r="G348">
        <v>8</v>
      </c>
      <c r="H348">
        <f t="shared" si="15"/>
        <v>0</v>
      </c>
      <c r="I348" s="33">
        <v>44932</v>
      </c>
      <c r="J348" t="s">
        <v>37</v>
      </c>
      <c r="K348" s="2">
        <f t="shared" si="16"/>
        <v>0</v>
      </c>
      <c r="L348" s="2">
        <f t="shared" si="17"/>
        <v>0</v>
      </c>
    </row>
    <row r="349" spans="1:12" x14ac:dyDescent="0.25">
      <c r="A349" t="s">
        <v>34</v>
      </c>
      <c r="B349" t="s">
        <v>21</v>
      </c>
      <c r="C349" t="s">
        <v>64</v>
      </c>
      <c r="D349" s="2">
        <v>50</v>
      </c>
      <c r="E349" s="2">
        <v>70</v>
      </c>
      <c r="F349">
        <v>0</v>
      </c>
      <c r="G349">
        <v>0</v>
      </c>
      <c r="H349">
        <f t="shared" si="15"/>
        <v>0</v>
      </c>
      <c r="I349" s="33">
        <v>44932</v>
      </c>
      <c r="J349" t="s">
        <v>37</v>
      </c>
      <c r="K349" s="2">
        <f t="shared" si="16"/>
        <v>0</v>
      </c>
      <c r="L349" s="2">
        <f t="shared" si="17"/>
        <v>0</v>
      </c>
    </row>
    <row r="350" spans="1:12" x14ac:dyDescent="0.25">
      <c r="A350" t="s">
        <v>18</v>
      </c>
      <c r="B350" t="s">
        <v>21</v>
      </c>
      <c r="C350" t="s">
        <v>65</v>
      </c>
      <c r="D350" s="2">
        <v>20</v>
      </c>
      <c r="E350" s="2">
        <v>30</v>
      </c>
      <c r="F350">
        <v>20</v>
      </c>
      <c r="G350">
        <v>15</v>
      </c>
      <c r="H350">
        <f t="shared" si="15"/>
        <v>5</v>
      </c>
      <c r="I350" s="33">
        <v>44932</v>
      </c>
      <c r="J350" t="s">
        <v>37</v>
      </c>
      <c r="K350" s="2">
        <f t="shared" si="16"/>
        <v>150</v>
      </c>
      <c r="L350" s="2">
        <f t="shared" si="17"/>
        <v>50</v>
      </c>
    </row>
    <row r="351" spans="1:12" x14ac:dyDescent="0.25">
      <c r="A351" t="s">
        <v>19</v>
      </c>
      <c r="B351" t="s">
        <v>21</v>
      </c>
      <c r="C351" t="s">
        <v>66</v>
      </c>
      <c r="D351" s="2">
        <v>10</v>
      </c>
      <c r="E351" s="2">
        <v>20</v>
      </c>
      <c r="F351">
        <v>11</v>
      </c>
      <c r="G351">
        <v>11</v>
      </c>
      <c r="H351">
        <f t="shared" si="15"/>
        <v>0</v>
      </c>
      <c r="I351" s="33">
        <v>44932</v>
      </c>
      <c r="J351" t="s">
        <v>37</v>
      </c>
      <c r="K351" s="2">
        <f t="shared" si="16"/>
        <v>0</v>
      </c>
      <c r="L351" s="2">
        <f t="shared" si="17"/>
        <v>0</v>
      </c>
    </row>
    <row r="352" spans="1:12" x14ac:dyDescent="0.25">
      <c r="A352" t="s">
        <v>20</v>
      </c>
      <c r="B352" t="s">
        <v>21</v>
      </c>
      <c r="C352" t="s">
        <v>67</v>
      </c>
      <c r="D352" s="2">
        <v>60</v>
      </c>
      <c r="E352" s="2">
        <v>100</v>
      </c>
      <c r="F352">
        <v>4</v>
      </c>
      <c r="G352">
        <v>1</v>
      </c>
      <c r="H352">
        <f t="shared" si="15"/>
        <v>3</v>
      </c>
      <c r="I352" s="33">
        <v>44932</v>
      </c>
      <c r="J352" t="s">
        <v>37</v>
      </c>
      <c r="K352" s="2">
        <f t="shared" si="16"/>
        <v>300</v>
      </c>
      <c r="L352" s="2">
        <f t="shared" si="17"/>
        <v>120</v>
      </c>
    </row>
    <row r="353" spans="1:12" x14ac:dyDescent="0.25">
      <c r="A353" t="s">
        <v>22</v>
      </c>
      <c r="B353" t="s">
        <v>24</v>
      </c>
      <c r="C353" t="s">
        <v>68</v>
      </c>
      <c r="D353" s="2">
        <v>50</v>
      </c>
      <c r="E353" s="2">
        <v>70</v>
      </c>
      <c r="F353">
        <v>4</v>
      </c>
      <c r="G353">
        <v>2</v>
      </c>
      <c r="H353">
        <f t="shared" si="15"/>
        <v>2</v>
      </c>
      <c r="I353" s="33">
        <v>44932</v>
      </c>
      <c r="J353" t="s">
        <v>37</v>
      </c>
      <c r="K353" s="2">
        <f t="shared" si="16"/>
        <v>140</v>
      </c>
      <c r="L353" s="2">
        <f t="shared" si="17"/>
        <v>40</v>
      </c>
    </row>
    <row r="354" spans="1:12" x14ac:dyDescent="0.25">
      <c r="A354" t="s">
        <v>25</v>
      </c>
      <c r="B354" t="s">
        <v>24</v>
      </c>
      <c r="C354" t="s">
        <v>69</v>
      </c>
      <c r="D354" s="2">
        <v>45</v>
      </c>
      <c r="E354" s="2">
        <v>65</v>
      </c>
      <c r="F354">
        <v>4</v>
      </c>
      <c r="G354">
        <v>2</v>
      </c>
      <c r="H354">
        <f t="shared" si="15"/>
        <v>2</v>
      </c>
      <c r="I354" s="33">
        <v>44932</v>
      </c>
      <c r="J354" t="s">
        <v>37</v>
      </c>
      <c r="K354" s="2">
        <f t="shared" si="16"/>
        <v>130</v>
      </c>
      <c r="L354" s="2">
        <f t="shared" si="17"/>
        <v>40</v>
      </c>
    </row>
    <row r="355" spans="1:12" x14ac:dyDescent="0.25">
      <c r="A355" t="s">
        <v>26</v>
      </c>
      <c r="B355" t="s">
        <v>24</v>
      </c>
      <c r="C355" t="s">
        <v>70</v>
      </c>
      <c r="D355" s="2">
        <v>50</v>
      </c>
      <c r="E355" s="2">
        <v>70</v>
      </c>
      <c r="F355">
        <v>0</v>
      </c>
      <c r="G355">
        <v>0</v>
      </c>
      <c r="H355">
        <f t="shared" si="15"/>
        <v>0</v>
      </c>
      <c r="I355" s="33">
        <v>44932</v>
      </c>
      <c r="J355" t="s">
        <v>37</v>
      </c>
      <c r="K355" s="2">
        <f t="shared" si="16"/>
        <v>0</v>
      </c>
      <c r="L355" s="2">
        <f t="shared" si="17"/>
        <v>0</v>
      </c>
    </row>
    <row r="356" spans="1:12" x14ac:dyDescent="0.25">
      <c r="A356" t="s">
        <v>27</v>
      </c>
      <c r="B356" t="s">
        <v>24</v>
      </c>
      <c r="C356" t="s">
        <v>71</v>
      </c>
      <c r="D356" s="2">
        <v>10</v>
      </c>
      <c r="E356" s="2">
        <v>15</v>
      </c>
      <c r="F356">
        <v>10</v>
      </c>
      <c r="G356">
        <v>8</v>
      </c>
      <c r="H356">
        <f t="shared" si="15"/>
        <v>2</v>
      </c>
      <c r="I356" s="33">
        <v>44932</v>
      </c>
      <c r="J356" t="s">
        <v>37</v>
      </c>
      <c r="K356" s="2">
        <f t="shared" si="16"/>
        <v>30</v>
      </c>
      <c r="L356" s="2">
        <f t="shared" si="17"/>
        <v>10</v>
      </c>
    </row>
    <row r="357" spans="1:12" x14ac:dyDescent="0.25">
      <c r="A357" t="s">
        <v>28</v>
      </c>
      <c r="B357" t="s">
        <v>24</v>
      </c>
      <c r="C357" t="s">
        <v>72</v>
      </c>
      <c r="D357" s="2">
        <v>20</v>
      </c>
      <c r="E357" s="2">
        <v>25</v>
      </c>
      <c r="F357">
        <v>7</v>
      </c>
      <c r="G357">
        <v>5</v>
      </c>
      <c r="H357">
        <f t="shared" si="15"/>
        <v>2</v>
      </c>
      <c r="I357" s="33">
        <v>44932</v>
      </c>
      <c r="J357" t="s">
        <v>37</v>
      </c>
      <c r="K357" s="2">
        <f t="shared" si="16"/>
        <v>50</v>
      </c>
      <c r="L357" s="2">
        <f t="shared" si="17"/>
        <v>10</v>
      </c>
    </row>
    <row r="358" spans="1:12" x14ac:dyDescent="0.25">
      <c r="A358" t="s">
        <v>29</v>
      </c>
      <c r="B358" t="s">
        <v>30</v>
      </c>
      <c r="C358" t="s">
        <v>73</v>
      </c>
      <c r="D358" s="2">
        <v>25</v>
      </c>
      <c r="E358" s="2">
        <v>30</v>
      </c>
      <c r="F358">
        <v>6</v>
      </c>
      <c r="G358">
        <v>0</v>
      </c>
      <c r="H358">
        <f t="shared" si="15"/>
        <v>6</v>
      </c>
      <c r="I358" s="33">
        <v>44932</v>
      </c>
      <c r="J358" t="s">
        <v>37</v>
      </c>
      <c r="K358" s="2">
        <f t="shared" si="16"/>
        <v>180</v>
      </c>
      <c r="L358" s="2">
        <f t="shared" si="17"/>
        <v>30</v>
      </c>
    </row>
    <row r="359" spans="1:12" x14ac:dyDescent="0.25">
      <c r="A359" t="s">
        <v>31</v>
      </c>
      <c r="B359" t="s">
        <v>30</v>
      </c>
      <c r="C359" t="s">
        <v>74</v>
      </c>
      <c r="D359" s="2">
        <v>25</v>
      </c>
      <c r="E359" s="2">
        <v>30</v>
      </c>
      <c r="F359">
        <v>4</v>
      </c>
      <c r="G359">
        <v>4</v>
      </c>
      <c r="H359">
        <f t="shared" si="15"/>
        <v>0</v>
      </c>
      <c r="I359" s="33">
        <v>44932</v>
      </c>
      <c r="J359" t="s">
        <v>37</v>
      </c>
      <c r="K359" s="2">
        <f t="shared" si="16"/>
        <v>0</v>
      </c>
      <c r="L359" s="2">
        <f t="shared" si="17"/>
        <v>0</v>
      </c>
    </row>
    <row r="360" spans="1:12" x14ac:dyDescent="0.25">
      <c r="A360" t="s">
        <v>32</v>
      </c>
      <c r="B360" t="s">
        <v>30</v>
      </c>
      <c r="C360" t="s">
        <v>75</v>
      </c>
      <c r="D360" s="2">
        <v>25</v>
      </c>
      <c r="E360" s="2">
        <v>30</v>
      </c>
      <c r="F360">
        <v>5</v>
      </c>
      <c r="G360">
        <v>2</v>
      </c>
      <c r="H360">
        <f t="shared" si="15"/>
        <v>3</v>
      </c>
      <c r="I360" s="33">
        <v>44932</v>
      </c>
      <c r="J360" t="s">
        <v>37</v>
      </c>
      <c r="K360" s="2">
        <f t="shared" si="16"/>
        <v>90</v>
      </c>
      <c r="L360" s="2">
        <f t="shared" si="17"/>
        <v>15</v>
      </c>
    </row>
    <row r="361" spans="1:12" x14ac:dyDescent="0.25">
      <c r="A361" t="s">
        <v>33</v>
      </c>
      <c r="B361" t="s">
        <v>30</v>
      </c>
      <c r="C361" t="s">
        <v>76</v>
      </c>
      <c r="D361" s="2">
        <v>30</v>
      </c>
      <c r="E361" s="2">
        <v>35</v>
      </c>
      <c r="F361">
        <v>8</v>
      </c>
      <c r="G361">
        <v>2</v>
      </c>
      <c r="H361">
        <f t="shared" si="15"/>
        <v>6</v>
      </c>
      <c r="I361" s="33">
        <v>44932</v>
      </c>
      <c r="J361" t="s">
        <v>37</v>
      </c>
      <c r="K361" s="2">
        <f t="shared" si="16"/>
        <v>210</v>
      </c>
      <c r="L361" s="2">
        <f t="shared" si="17"/>
        <v>30</v>
      </c>
    </row>
    <row r="362" spans="1:12" x14ac:dyDescent="0.25">
      <c r="A362" t="s">
        <v>2</v>
      </c>
      <c r="B362" t="s">
        <v>3</v>
      </c>
      <c r="C362" t="s">
        <v>48</v>
      </c>
      <c r="D362" s="2">
        <v>100</v>
      </c>
      <c r="E362" s="2">
        <v>200</v>
      </c>
      <c r="F362">
        <v>3</v>
      </c>
      <c r="G362">
        <v>2</v>
      </c>
      <c r="H362">
        <f t="shared" si="15"/>
        <v>1</v>
      </c>
      <c r="I362" s="33">
        <v>44933</v>
      </c>
      <c r="J362" t="s">
        <v>38</v>
      </c>
      <c r="K362" s="2">
        <f t="shared" si="16"/>
        <v>200</v>
      </c>
      <c r="L362" s="2">
        <f t="shared" si="17"/>
        <v>100</v>
      </c>
    </row>
    <row r="363" spans="1:12" x14ac:dyDescent="0.25">
      <c r="A363" t="s">
        <v>7</v>
      </c>
      <c r="B363" t="s">
        <v>3</v>
      </c>
      <c r="C363" t="s">
        <v>77</v>
      </c>
      <c r="D363" s="2">
        <v>200</v>
      </c>
      <c r="E363" s="2">
        <v>300</v>
      </c>
      <c r="F363">
        <v>2</v>
      </c>
      <c r="G363">
        <v>1</v>
      </c>
      <c r="H363">
        <f t="shared" si="15"/>
        <v>1</v>
      </c>
      <c r="I363" s="33">
        <v>44933</v>
      </c>
      <c r="J363" t="s">
        <v>38</v>
      </c>
      <c r="K363" s="2">
        <f t="shared" si="16"/>
        <v>300</v>
      </c>
      <c r="L363" s="2">
        <f t="shared" si="17"/>
        <v>100</v>
      </c>
    </row>
    <row r="364" spans="1:12" x14ac:dyDescent="0.25">
      <c r="A364" t="s">
        <v>23</v>
      </c>
      <c r="B364" t="s">
        <v>3</v>
      </c>
      <c r="C364" t="s">
        <v>52</v>
      </c>
      <c r="D364" s="2">
        <v>150</v>
      </c>
      <c r="E364" s="2">
        <v>250</v>
      </c>
      <c r="F364">
        <v>2</v>
      </c>
      <c r="G364">
        <v>1</v>
      </c>
      <c r="H364">
        <f t="shared" si="15"/>
        <v>1</v>
      </c>
      <c r="I364" s="33">
        <v>44933</v>
      </c>
      <c r="J364" t="s">
        <v>38</v>
      </c>
      <c r="K364" s="2">
        <f t="shared" si="16"/>
        <v>250</v>
      </c>
      <c r="L364" s="2">
        <f t="shared" si="17"/>
        <v>100</v>
      </c>
    </row>
    <row r="365" spans="1:12" x14ac:dyDescent="0.25">
      <c r="A365" t="s">
        <v>9</v>
      </c>
      <c r="B365" t="s">
        <v>3</v>
      </c>
      <c r="C365" t="s">
        <v>53</v>
      </c>
      <c r="D365" s="2">
        <v>100</v>
      </c>
      <c r="E365" s="2">
        <v>200</v>
      </c>
      <c r="F365">
        <v>3</v>
      </c>
      <c r="G365">
        <v>2</v>
      </c>
      <c r="H365">
        <f t="shared" si="15"/>
        <v>1</v>
      </c>
      <c r="I365" s="33">
        <v>44933</v>
      </c>
      <c r="J365" t="s">
        <v>38</v>
      </c>
      <c r="K365" s="2">
        <f t="shared" si="16"/>
        <v>200</v>
      </c>
      <c r="L365" s="2">
        <f t="shared" si="17"/>
        <v>100</v>
      </c>
    </row>
    <row r="366" spans="1:12" x14ac:dyDescent="0.25">
      <c r="A366" t="s">
        <v>2</v>
      </c>
      <c r="B366" t="s">
        <v>12</v>
      </c>
      <c r="C366" t="s">
        <v>49</v>
      </c>
      <c r="D366" s="2">
        <v>250</v>
      </c>
      <c r="E366" s="2">
        <v>350</v>
      </c>
      <c r="F366">
        <v>2</v>
      </c>
      <c r="G366">
        <v>1</v>
      </c>
      <c r="H366">
        <f t="shared" si="15"/>
        <v>1</v>
      </c>
      <c r="I366" s="33">
        <v>44933</v>
      </c>
      <c r="J366" t="s">
        <v>38</v>
      </c>
      <c r="K366" s="2">
        <f t="shared" si="16"/>
        <v>350</v>
      </c>
      <c r="L366" s="2">
        <f t="shared" si="17"/>
        <v>100</v>
      </c>
    </row>
    <row r="367" spans="1:12" x14ac:dyDescent="0.25">
      <c r="A367" t="s">
        <v>7</v>
      </c>
      <c r="B367" t="s">
        <v>12</v>
      </c>
      <c r="C367" t="s">
        <v>54</v>
      </c>
      <c r="D367" s="2">
        <v>300</v>
      </c>
      <c r="E367" s="2">
        <v>400</v>
      </c>
      <c r="F367">
        <v>0</v>
      </c>
      <c r="G367">
        <v>0</v>
      </c>
      <c r="H367">
        <f t="shared" si="15"/>
        <v>0</v>
      </c>
      <c r="I367" s="33">
        <v>44933</v>
      </c>
      <c r="J367" t="s">
        <v>38</v>
      </c>
      <c r="K367" s="2">
        <f t="shared" si="16"/>
        <v>0</v>
      </c>
      <c r="L367" s="2">
        <f t="shared" si="17"/>
        <v>0</v>
      </c>
    </row>
    <row r="368" spans="1:12" x14ac:dyDescent="0.25">
      <c r="A368" t="s">
        <v>8</v>
      </c>
      <c r="B368" t="s">
        <v>12</v>
      </c>
      <c r="C368" t="s">
        <v>55</v>
      </c>
      <c r="D368" s="2">
        <v>250</v>
      </c>
      <c r="E368" s="2">
        <v>350</v>
      </c>
      <c r="F368">
        <v>1</v>
      </c>
      <c r="G368">
        <v>0</v>
      </c>
      <c r="H368">
        <f t="shared" si="15"/>
        <v>1</v>
      </c>
      <c r="I368" s="33">
        <v>44933</v>
      </c>
      <c r="J368" t="s">
        <v>38</v>
      </c>
      <c r="K368" s="2">
        <f t="shared" si="16"/>
        <v>350</v>
      </c>
      <c r="L368" s="2">
        <f t="shared" si="17"/>
        <v>100</v>
      </c>
    </row>
    <row r="369" spans="1:12" x14ac:dyDescent="0.25">
      <c r="A369" t="s">
        <v>9</v>
      </c>
      <c r="B369" t="s">
        <v>12</v>
      </c>
      <c r="C369" t="s">
        <v>56</v>
      </c>
      <c r="D369" s="2">
        <v>250</v>
      </c>
      <c r="E369" s="2">
        <v>350</v>
      </c>
      <c r="F369">
        <v>5</v>
      </c>
      <c r="G369">
        <v>4</v>
      </c>
      <c r="H369">
        <f t="shared" si="15"/>
        <v>1</v>
      </c>
      <c r="I369" s="33">
        <v>44933</v>
      </c>
      <c r="J369" t="s">
        <v>38</v>
      </c>
      <c r="K369" s="2">
        <f t="shared" si="16"/>
        <v>350</v>
      </c>
      <c r="L369" s="2">
        <f t="shared" si="17"/>
        <v>100</v>
      </c>
    </row>
    <row r="370" spans="1:12" x14ac:dyDescent="0.25">
      <c r="A370" t="s">
        <v>13</v>
      </c>
      <c r="B370" t="s">
        <v>12</v>
      </c>
      <c r="C370" t="s">
        <v>57</v>
      </c>
      <c r="D370" s="2">
        <v>300</v>
      </c>
      <c r="E370" s="2">
        <v>450</v>
      </c>
      <c r="F370">
        <v>2</v>
      </c>
      <c r="G370">
        <v>0</v>
      </c>
      <c r="H370">
        <f t="shared" si="15"/>
        <v>2</v>
      </c>
      <c r="I370" s="33">
        <v>44933</v>
      </c>
      <c r="J370" t="s">
        <v>38</v>
      </c>
      <c r="K370" s="2">
        <f t="shared" si="16"/>
        <v>900</v>
      </c>
      <c r="L370" s="2">
        <f t="shared" si="17"/>
        <v>300</v>
      </c>
    </row>
    <row r="371" spans="1:12" x14ac:dyDescent="0.25">
      <c r="A371" t="s">
        <v>14</v>
      </c>
      <c r="B371" t="s">
        <v>16</v>
      </c>
      <c r="C371" t="s">
        <v>50</v>
      </c>
      <c r="D371" s="2">
        <v>320</v>
      </c>
      <c r="E371" s="2">
        <v>400</v>
      </c>
      <c r="F371">
        <v>0</v>
      </c>
      <c r="G371">
        <v>0</v>
      </c>
      <c r="H371">
        <f t="shared" si="15"/>
        <v>0</v>
      </c>
      <c r="I371" s="33">
        <v>44933</v>
      </c>
      <c r="J371" t="s">
        <v>38</v>
      </c>
      <c r="K371" s="2">
        <f t="shared" si="16"/>
        <v>0</v>
      </c>
      <c r="L371" s="2">
        <f t="shared" si="17"/>
        <v>0</v>
      </c>
    </row>
    <row r="372" spans="1:12" x14ac:dyDescent="0.25">
      <c r="A372" t="s">
        <v>15</v>
      </c>
      <c r="B372" t="s">
        <v>16</v>
      </c>
      <c r="C372" t="s">
        <v>58</v>
      </c>
      <c r="D372" s="2">
        <v>100</v>
      </c>
      <c r="E372" s="2">
        <v>150</v>
      </c>
      <c r="F372">
        <v>5</v>
      </c>
      <c r="G372">
        <v>5</v>
      </c>
      <c r="H372">
        <f t="shared" si="15"/>
        <v>0</v>
      </c>
      <c r="I372" s="33">
        <v>44933</v>
      </c>
      <c r="J372" t="s">
        <v>38</v>
      </c>
      <c r="K372" s="2">
        <f t="shared" si="16"/>
        <v>0</v>
      </c>
      <c r="L372" s="2">
        <f t="shared" si="17"/>
        <v>0</v>
      </c>
    </row>
    <row r="373" spans="1:12" x14ac:dyDescent="0.25">
      <c r="A373" t="s">
        <v>2</v>
      </c>
      <c r="B373" t="s">
        <v>21</v>
      </c>
      <c r="C373" t="s">
        <v>51</v>
      </c>
      <c r="D373" s="2">
        <v>25</v>
      </c>
      <c r="E373" s="2">
        <v>40</v>
      </c>
      <c r="F373">
        <v>9</v>
      </c>
      <c r="G373">
        <v>7</v>
      </c>
      <c r="H373">
        <f t="shared" si="15"/>
        <v>2</v>
      </c>
      <c r="I373" s="33">
        <v>44933</v>
      </c>
      <c r="J373" t="s">
        <v>38</v>
      </c>
      <c r="K373" s="2">
        <f t="shared" si="16"/>
        <v>80</v>
      </c>
      <c r="L373" s="2">
        <f t="shared" si="17"/>
        <v>30</v>
      </c>
    </row>
    <row r="374" spans="1:12" x14ac:dyDescent="0.25">
      <c r="A374" t="s">
        <v>7</v>
      </c>
      <c r="B374" t="s">
        <v>21</v>
      </c>
      <c r="C374" t="s">
        <v>59</v>
      </c>
      <c r="D374" s="2">
        <v>30</v>
      </c>
      <c r="E374" s="2">
        <v>50</v>
      </c>
      <c r="F374">
        <v>16</v>
      </c>
      <c r="G374">
        <v>4</v>
      </c>
      <c r="H374">
        <f t="shared" si="15"/>
        <v>12</v>
      </c>
      <c r="I374" s="33">
        <v>44933</v>
      </c>
      <c r="J374" t="s">
        <v>38</v>
      </c>
      <c r="K374" s="2">
        <f t="shared" si="16"/>
        <v>600</v>
      </c>
      <c r="L374" s="2">
        <f t="shared" si="17"/>
        <v>240</v>
      </c>
    </row>
    <row r="375" spans="1:12" x14ac:dyDescent="0.25">
      <c r="A375" t="s">
        <v>9</v>
      </c>
      <c r="B375" t="s">
        <v>21</v>
      </c>
      <c r="C375" t="s">
        <v>60</v>
      </c>
      <c r="D375" s="2">
        <v>25</v>
      </c>
      <c r="E375" s="2">
        <v>40</v>
      </c>
      <c r="F375">
        <v>16</v>
      </c>
      <c r="G375">
        <v>6</v>
      </c>
      <c r="H375">
        <f t="shared" si="15"/>
        <v>10</v>
      </c>
      <c r="I375" s="33">
        <v>44933</v>
      </c>
      <c r="J375" t="s">
        <v>38</v>
      </c>
      <c r="K375" s="2">
        <f t="shared" si="16"/>
        <v>400</v>
      </c>
      <c r="L375" s="2">
        <f t="shared" si="17"/>
        <v>150</v>
      </c>
    </row>
    <row r="376" spans="1:12" x14ac:dyDescent="0.25">
      <c r="A376" t="s">
        <v>23</v>
      </c>
      <c r="B376" t="s">
        <v>21</v>
      </c>
      <c r="C376" t="s">
        <v>61</v>
      </c>
      <c r="D376" s="2">
        <v>25</v>
      </c>
      <c r="E376" s="2">
        <v>40</v>
      </c>
      <c r="F376">
        <v>21</v>
      </c>
      <c r="G376">
        <v>9</v>
      </c>
      <c r="H376">
        <f t="shared" si="15"/>
        <v>12</v>
      </c>
      <c r="I376" s="33">
        <v>44933</v>
      </c>
      <c r="J376" t="s">
        <v>38</v>
      </c>
      <c r="K376" s="2">
        <f t="shared" si="16"/>
        <v>480</v>
      </c>
      <c r="L376" s="2">
        <f t="shared" si="17"/>
        <v>180</v>
      </c>
    </row>
    <row r="377" spans="1:12" x14ac:dyDescent="0.25">
      <c r="A377" t="s">
        <v>13</v>
      </c>
      <c r="B377" t="s">
        <v>21</v>
      </c>
      <c r="C377" t="s">
        <v>62</v>
      </c>
      <c r="D377" s="2">
        <v>30</v>
      </c>
      <c r="E377" s="2">
        <v>55</v>
      </c>
      <c r="F377">
        <v>16</v>
      </c>
      <c r="G377">
        <v>2</v>
      </c>
      <c r="H377">
        <f t="shared" si="15"/>
        <v>14</v>
      </c>
      <c r="I377" s="33">
        <v>44933</v>
      </c>
      <c r="J377" t="s">
        <v>38</v>
      </c>
      <c r="K377" s="2">
        <f t="shared" si="16"/>
        <v>770</v>
      </c>
      <c r="L377" s="2">
        <f t="shared" si="17"/>
        <v>350</v>
      </c>
    </row>
    <row r="378" spans="1:12" x14ac:dyDescent="0.25">
      <c r="A378" t="s">
        <v>17</v>
      </c>
      <c r="B378" t="s">
        <v>21</v>
      </c>
      <c r="C378" t="s">
        <v>63</v>
      </c>
      <c r="D378" s="2">
        <v>40</v>
      </c>
      <c r="E378" s="2">
        <v>65</v>
      </c>
      <c r="F378">
        <v>8</v>
      </c>
      <c r="G378">
        <v>5</v>
      </c>
      <c r="H378">
        <f t="shared" si="15"/>
        <v>3</v>
      </c>
      <c r="I378" s="33">
        <v>44933</v>
      </c>
      <c r="J378" t="s">
        <v>38</v>
      </c>
      <c r="K378" s="2">
        <f t="shared" si="16"/>
        <v>195</v>
      </c>
      <c r="L378" s="2">
        <f t="shared" si="17"/>
        <v>75</v>
      </c>
    </row>
    <row r="379" spans="1:12" x14ac:dyDescent="0.25">
      <c r="A379" t="s">
        <v>34</v>
      </c>
      <c r="B379" t="s">
        <v>21</v>
      </c>
      <c r="C379" t="s">
        <v>64</v>
      </c>
      <c r="D379" s="2">
        <v>50</v>
      </c>
      <c r="E379" s="2">
        <v>70</v>
      </c>
      <c r="F379">
        <v>0</v>
      </c>
      <c r="G379">
        <v>0</v>
      </c>
      <c r="H379">
        <f t="shared" si="15"/>
        <v>0</v>
      </c>
      <c r="I379" s="33">
        <v>44933</v>
      </c>
      <c r="J379" t="s">
        <v>38</v>
      </c>
      <c r="K379" s="2">
        <f t="shared" si="16"/>
        <v>0</v>
      </c>
      <c r="L379" s="2">
        <f t="shared" si="17"/>
        <v>0</v>
      </c>
    </row>
    <row r="380" spans="1:12" x14ac:dyDescent="0.25">
      <c r="A380" t="s">
        <v>18</v>
      </c>
      <c r="B380" t="s">
        <v>21</v>
      </c>
      <c r="C380" t="s">
        <v>65</v>
      </c>
      <c r="D380" s="2">
        <v>20</v>
      </c>
      <c r="E380" s="2">
        <v>30</v>
      </c>
      <c r="F380">
        <v>20</v>
      </c>
      <c r="G380">
        <v>20</v>
      </c>
      <c r="H380">
        <f t="shared" si="15"/>
        <v>0</v>
      </c>
      <c r="I380" s="33">
        <v>44933</v>
      </c>
      <c r="J380" t="s">
        <v>38</v>
      </c>
      <c r="K380" s="2">
        <f t="shared" si="16"/>
        <v>0</v>
      </c>
      <c r="L380" s="2">
        <f t="shared" si="17"/>
        <v>0</v>
      </c>
    </row>
    <row r="381" spans="1:12" x14ac:dyDescent="0.25">
      <c r="A381" t="s">
        <v>19</v>
      </c>
      <c r="B381" t="s">
        <v>21</v>
      </c>
      <c r="C381" t="s">
        <v>66</v>
      </c>
      <c r="D381" s="2">
        <v>10</v>
      </c>
      <c r="E381" s="2">
        <v>20</v>
      </c>
      <c r="F381">
        <v>11</v>
      </c>
      <c r="G381">
        <v>11</v>
      </c>
      <c r="H381">
        <f t="shared" si="15"/>
        <v>0</v>
      </c>
      <c r="I381" s="33">
        <v>44933</v>
      </c>
      <c r="J381" t="s">
        <v>38</v>
      </c>
      <c r="K381" s="2">
        <f t="shared" si="16"/>
        <v>0</v>
      </c>
      <c r="L381" s="2">
        <f t="shared" si="17"/>
        <v>0</v>
      </c>
    </row>
    <row r="382" spans="1:12" x14ac:dyDescent="0.25">
      <c r="A382" t="s">
        <v>20</v>
      </c>
      <c r="B382" t="s">
        <v>21</v>
      </c>
      <c r="C382" t="s">
        <v>67</v>
      </c>
      <c r="D382" s="2">
        <v>60</v>
      </c>
      <c r="E382" s="2">
        <v>100</v>
      </c>
      <c r="F382">
        <v>6</v>
      </c>
      <c r="G382">
        <v>6</v>
      </c>
      <c r="H382">
        <f t="shared" si="15"/>
        <v>0</v>
      </c>
      <c r="I382" s="33">
        <v>44933</v>
      </c>
      <c r="J382" t="s">
        <v>38</v>
      </c>
      <c r="K382" s="2">
        <f t="shared" si="16"/>
        <v>0</v>
      </c>
      <c r="L382" s="2">
        <f t="shared" si="17"/>
        <v>0</v>
      </c>
    </row>
    <row r="383" spans="1:12" x14ac:dyDescent="0.25">
      <c r="A383" t="s">
        <v>22</v>
      </c>
      <c r="B383" t="s">
        <v>24</v>
      </c>
      <c r="C383" t="s">
        <v>68</v>
      </c>
      <c r="D383" s="2">
        <v>50</v>
      </c>
      <c r="E383" s="2">
        <v>70</v>
      </c>
      <c r="F383">
        <v>6</v>
      </c>
      <c r="G383">
        <v>5</v>
      </c>
      <c r="H383">
        <f t="shared" si="15"/>
        <v>1</v>
      </c>
      <c r="I383" s="33">
        <v>44933</v>
      </c>
      <c r="J383" t="s">
        <v>38</v>
      </c>
      <c r="K383" s="2">
        <f t="shared" si="16"/>
        <v>70</v>
      </c>
      <c r="L383" s="2">
        <f t="shared" si="17"/>
        <v>20</v>
      </c>
    </row>
    <row r="384" spans="1:12" x14ac:dyDescent="0.25">
      <c r="A384" t="s">
        <v>25</v>
      </c>
      <c r="B384" t="s">
        <v>24</v>
      </c>
      <c r="C384" t="s">
        <v>69</v>
      </c>
      <c r="D384" s="2">
        <v>45</v>
      </c>
      <c r="E384" s="2">
        <v>65</v>
      </c>
      <c r="F384">
        <v>2</v>
      </c>
      <c r="G384">
        <v>1</v>
      </c>
      <c r="H384">
        <f t="shared" si="15"/>
        <v>1</v>
      </c>
      <c r="I384" s="33">
        <v>44933</v>
      </c>
      <c r="J384" t="s">
        <v>38</v>
      </c>
      <c r="K384" s="2">
        <f t="shared" si="16"/>
        <v>65</v>
      </c>
      <c r="L384" s="2">
        <f t="shared" si="17"/>
        <v>20</v>
      </c>
    </row>
    <row r="385" spans="1:12" x14ac:dyDescent="0.25">
      <c r="A385" t="s">
        <v>26</v>
      </c>
      <c r="B385" t="s">
        <v>24</v>
      </c>
      <c r="C385" t="s">
        <v>70</v>
      </c>
      <c r="D385" s="2">
        <v>50</v>
      </c>
      <c r="E385" s="2">
        <v>70</v>
      </c>
      <c r="F385">
        <v>0</v>
      </c>
      <c r="G385">
        <v>0</v>
      </c>
      <c r="H385">
        <f t="shared" si="15"/>
        <v>0</v>
      </c>
      <c r="I385" s="33">
        <v>44933</v>
      </c>
      <c r="J385" t="s">
        <v>38</v>
      </c>
      <c r="K385" s="2">
        <f t="shared" si="16"/>
        <v>0</v>
      </c>
      <c r="L385" s="2">
        <f t="shared" si="17"/>
        <v>0</v>
      </c>
    </row>
    <row r="386" spans="1:12" x14ac:dyDescent="0.25">
      <c r="A386" t="s">
        <v>27</v>
      </c>
      <c r="B386" t="s">
        <v>24</v>
      </c>
      <c r="C386" t="s">
        <v>71</v>
      </c>
      <c r="D386" s="2">
        <v>10</v>
      </c>
      <c r="E386" s="2">
        <v>15</v>
      </c>
      <c r="F386">
        <v>12</v>
      </c>
      <c r="G386">
        <v>10</v>
      </c>
      <c r="H386">
        <f t="shared" ref="H386:H449" si="18">F386-G386</f>
        <v>2</v>
      </c>
      <c r="I386" s="33">
        <v>44933</v>
      </c>
      <c r="J386" t="s">
        <v>38</v>
      </c>
      <c r="K386" s="2">
        <f t="shared" ref="K386:K449" si="19">E386*H386</f>
        <v>30</v>
      </c>
      <c r="L386" s="2">
        <f t="shared" ref="L386:L449" si="20">(E386-D386)*H386</f>
        <v>10</v>
      </c>
    </row>
    <row r="387" spans="1:12" x14ac:dyDescent="0.25">
      <c r="A387" t="s">
        <v>28</v>
      </c>
      <c r="B387" t="s">
        <v>24</v>
      </c>
      <c r="C387" t="s">
        <v>72</v>
      </c>
      <c r="D387" s="2">
        <v>20</v>
      </c>
      <c r="E387" s="2">
        <v>25</v>
      </c>
      <c r="F387">
        <v>5</v>
      </c>
      <c r="G387">
        <v>4</v>
      </c>
      <c r="H387">
        <f t="shared" si="18"/>
        <v>1</v>
      </c>
      <c r="I387" s="33">
        <v>44933</v>
      </c>
      <c r="J387" t="s">
        <v>38</v>
      </c>
      <c r="K387" s="2">
        <f t="shared" si="19"/>
        <v>25</v>
      </c>
      <c r="L387" s="2">
        <f t="shared" si="20"/>
        <v>5</v>
      </c>
    </row>
    <row r="388" spans="1:12" x14ac:dyDescent="0.25">
      <c r="A388" t="s">
        <v>29</v>
      </c>
      <c r="B388" t="s">
        <v>30</v>
      </c>
      <c r="C388" t="s">
        <v>73</v>
      </c>
      <c r="D388" s="2">
        <v>25</v>
      </c>
      <c r="E388" s="2">
        <v>30</v>
      </c>
      <c r="F388">
        <v>0</v>
      </c>
      <c r="G388">
        <v>0</v>
      </c>
      <c r="H388">
        <f t="shared" si="18"/>
        <v>0</v>
      </c>
      <c r="I388" s="33">
        <v>44933</v>
      </c>
      <c r="J388" t="s">
        <v>38</v>
      </c>
      <c r="K388" s="2">
        <f t="shared" si="19"/>
        <v>0</v>
      </c>
      <c r="L388" s="2">
        <f t="shared" si="20"/>
        <v>0</v>
      </c>
    </row>
    <row r="389" spans="1:12" x14ac:dyDescent="0.25">
      <c r="A389" t="s">
        <v>31</v>
      </c>
      <c r="B389" t="s">
        <v>30</v>
      </c>
      <c r="C389" t="s">
        <v>74</v>
      </c>
      <c r="D389" s="2">
        <v>25</v>
      </c>
      <c r="E389" s="2">
        <v>30</v>
      </c>
      <c r="F389">
        <v>4</v>
      </c>
      <c r="G389">
        <v>2</v>
      </c>
      <c r="H389">
        <f t="shared" si="18"/>
        <v>2</v>
      </c>
      <c r="I389" s="33">
        <v>44933</v>
      </c>
      <c r="J389" t="s">
        <v>38</v>
      </c>
      <c r="K389" s="2">
        <f t="shared" si="19"/>
        <v>60</v>
      </c>
      <c r="L389" s="2">
        <f t="shared" si="20"/>
        <v>10</v>
      </c>
    </row>
    <row r="390" spans="1:12" x14ac:dyDescent="0.25">
      <c r="A390" t="s">
        <v>32</v>
      </c>
      <c r="B390" t="s">
        <v>30</v>
      </c>
      <c r="C390" t="s">
        <v>75</v>
      </c>
      <c r="D390" s="2">
        <v>25</v>
      </c>
      <c r="E390" s="2">
        <v>30</v>
      </c>
      <c r="F390">
        <v>2</v>
      </c>
      <c r="G390">
        <v>2</v>
      </c>
      <c r="H390">
        <f t="shared" si="18"/>
        <v>0</v>
      </c>
      <c r="I390" s="33">
        <v>44933</v>
      </c>
      <c r="J390" t="s">
        <v>38</v>
      </c>
      <c r="K390" s="2">
        <f t="shared" si="19"/>
        <v>0</v>
      </c>
      <c r="L390" s="2">
        <f t="shared" si="20"/>
        <v>0</v>
      </c>
    </row>
    <row r="391" spans="1:12" x14ac:dyDescent="0.25">
      <c r="A391" t="s">
        <v>33</v>
      </c>
      <c r="B391" t="s">
        <v>30</v>
      </c>
      <c r="C391" t="s">
        <v>76</v>
      </c>
      <c r="D391" s="2">
        <v>30</v>
      </c>
      <c r="E391" s="2">
        <v>35</v>
      </c>
      <c r="F391">
        <v>2</v>
      </c>
      <c r="G391">
        <v>1</v>
      </c>
      <c r="H391">
        <f t="shared" si="18"/>
        <v>1</v>
      </c>
      <c r="I391" s="33">
        <v>44933</v>
      </c>
      <c r="J391" t="s">
        <v>38</v>
      </c>
      <c r="K391" s="2">
        <f t="shared" si="19"/>
        <v>35</v>
      </c>
      <c r="L391" s="2">
        <f t="shared" si="20"/>
        <v>5</v>
      </c>
    </row>
    <row r="392" spans="1:12" x14ac:dyDescent="0.25">
      <c r="A392" t="s">
        <v>2</v>
      </c>
      <c r="B392" t="s">
        <v>3</v>
      </c>
      <c r="C392" t="s">
        <v>48</v>
      </c>
      <c r="D392" s="2">
        <v>100</v>
      </c>
      <c r="E392" s="2">
        <v>200</v>
      </c>
      <c r="F392">
        <v>2</v>
      </c>
      <c r="G392">
        <v>1</v>
      </c>
      <c r="H392">
        <f t="shared" si="18"/>
        <v>1</v>
      </c>
      <c r="I392" s="33">
        <v>44934</v>
      </c>
      <c r="J392" t="s">
        <v>6</v>
      </c>
      <c r="K392" s="2">
        <f t="shared" si="19"/>
        <v>200</v>
      </c>
      <c r="L392" s="2">
        <f t="shared" si="20"/>
        <v>100</v>
      </c>
    </row>
    <row r="393" spans="1:12" x14ac:dyDescent="0.25">
      <c r="A393" t="s">
        <v>7</v>
      </c>
      <c r="B393" t="s">
        <v>3</v>
      </c>
      <c r="C393" t="s">
        <v>77</v>
      </c>
      <c r="D393" s="2">
        <v>200</v>
      </c>
      <c r="E393" s="2">
        <v>300</v>
      </c>
      <c r="F393">
        <v>3</v>
      </c>
      <c r="G393">
        <v>2</v>
      </c>
      <c r="H393">
        <f t="shared" si="18"/>
        <v>1</v>
      </c>
      <c r="I393" s="33">
        <v>44934</v>
      </c>
      <c r="J393" t="s">
        <v>6</v>
      </c>
      <c r="K393" s="2">
        <f t="shared" si="19"/>
        <v>300</v>
      </c>
      <c r="L393" s="2">
        <f t="shared" si="20"/>
        <v>100</v>
      </c>
    </row>
    <row r="394" spans="1:12" x14ac:dyDescent="0.25">
      <c r="A394" t="s">
        <v>23</v>
      </c>
      <c r="B394" t="s">
        <v>3</v>
      </c>
      <c r="C394" t="s">
        <v>52</v>
      </c>
      <c r="D394" s="2">
        <v>150</v>
      </c>
      <c r="E394" s="2">
        <v>250</v>
      </c>
      <c r="F394">
        <v>3</v>
      </c>
      <c r="G394">
        <v>1</v>
      </c>
      <c r="H394">
        <f t="shared" si="18"/>
        <v>2</v>
      </c>
      <c r="I394" s="33">
        <v>44934</v>
      </c>
      <c r="J394" t="s">
        <v>6</v>
      </c>
      <c r="K394" s="2">
        <f t="shared" si="19"/>
        <v>500</v>
      </c>
      <c r="L394" s="2">
        <f t="shared" si="20"/>
        <v>200</v>
      </c>
    </row>
    <row r="395" spans="1:12" x14ac:dyDescent="0.25">
      <c r="A395" t="s">
        <v>9</v>
      </c>
      <c r="B395" t="s">
        <v>3</v>
      </c>
      <c r="C395" t="s">
        <v>53</v>
      </c>
      <c r="D395" s="2">
        <v>100</v>
      </c>
      <c r="E395" s="2">
        <v>200</v>
      </c>
      <c r="F395">
        <v>3</v>
      </c>
      <c r="G395">
        <v>3</v>
      </c>
      <c r="H395">
        <f t="shared" si="18"/>
        <v>0</v>
      </c>
      <c r="I395" s="33">
        <v>44934</v>
      </c>
      <c r="J395" t="s">
        <v>6</v>
      </c>
      <c r="K395" s="2">
        <f t="shared" si="19"/>
        <v>0</v>
      </c>
      <c r="L395" s="2">
        <f t="shared" si="20"/>
        <v>0</v>
      </c>
    </row>
    <row r="396" spans="1:12" x14ac:dyDescent="0.25">
      <c r="A396" t="s">
        <v>2</v>
      </c>
      <c r="B396" t="s">
        <v>12</v>
      </c>
      <c r="C396" t="s">
        <v>49</v>
      </c>
      <c r="D396" s="2">
        <v>250</v>
      </c>
      <c r="E396" s="2">
        <v>350</v>
      </c>
      <c r="F396">
        <v>3</v>
      </c>
      <c r="G396">
        <v>2</v>
      </c>
      <c r="H396">
        <f t="shared" si="18"/>
        <v>1</v>
      </c>
      <c r="I396" s="33">
        <v>44934</v>
      </c>
      <c r="J396" t="s">
        <v>6</v>
      </c>
      <c r="K396" s="2">
        <f t="shared" si="19"/>
        <v>350</v>
      </c>
      <c r="L396" s="2">
        <f t="shared" si="20"/>
        <v>100</v>
      </c>
    </row>
    <row r="397" spans="1:12" x14ac:dyDescent="0.25">
      <c r="A397" t="s">
        <v>7</v>
      </c>
      <c r="B397" t="s">
        <v>12</v>
      </c>
      <c r="C397" t="s">
        <v>54</v>
      </c>
      <c r="D397" s="2">
        <v>300</v>
      </c>
      <c r="E397" s="2">
        <v>400</v>
      </c>
      <c r="F397">
        <v>1</v>
      </c>
      <c r="G397">
        <v>1</v>
      </c>
      <c r="H397">
        <f t="shared" si="18"/>
        <v>0</v>
      </c>
      <c r="I397" s="33">
        <v>44934</v>
      </c>
      <c r="J397" t="s">
        <v>6</v>
      </c>
      <c r="K397" s="2">
        <f t="shared" si="19"/>
        <v>0</v>
      </c>
      <c r="L397" s="2">
        <f t="shared" si="20"/>
        <v>0</v>
      </c>
    </row>
    <row r="398" spans="1:12" x14ac:dyDescent="0.25">
      <c r="A398" t="s">
        <v>8</v>
      </c>
      <c r="B398" t="s">
        <v>12</v>
      </c>
      <c r="C398" t="s">
        <v>55</v>
      </c>
      <c r="D398" s="2">
        <v>250</v>
      </c>
      <c r="E398" s="2">
        <v>350</v>
      </c>
      <c r="F398">
        <v>2</v>
      </c>
      <c r="G398">
        <v>2</v>
      </c>
      <c r="H398">
        <f t="shared" si="18"/>
        <v>0</v>
      </c>
      <c r="I398" s="33">
        <v>44934</v>
      </c>
      <c r="J398" t="s">
        <v>6</v>
      </c>
      <c r="K398" s="2">
        <f t="shared" si="19"/>
        <v>0</v>
      </c>
      <c r="L398" s="2">
        <f t="shared" si="20"/>
        <v>0</v>
      </c>
    </row>
    <row r="399" spans="1:12" x14ac:dyDescent="0.25">
      <c r="A399" t="s">
        <v>9</v>
      </c>
      <c r="B399" t="s">
        <v>12</v>
      </c>
      <c r="C399" t="s">
        <v>56</v>
      </c>
      <c r="D399" s="2">
        <v>250</v>
      </c>
      <c r="E399" s="2">
        <v>350</v>
      </c>
      <c r="F399">
        <v>5</v>
      </c>
      <c r="G399">
        <v>2</v>
      </c>
      <c r="H399">
        <f t="shared" si="18"/>
        <v>3</v>
      </c>
      <c r="I399" s="33">
        <v>44934</v>
      </c>
      <c r="J399" t="s">
        <v>6</v>
      </c>
      <c r="K399" s="2">
        <f t="shared" si="19"/>
        <v>1050</v>
      </c>
      <c r="L399" s="2">
        <f t="shared" si="20"/>
        <v>300</v>
      </c>
    </row>
    <row r="400" spans="1:12" x14ac:dyDescent="0.25">
      <c r="A400" t="s">
        <v>13</v>
      </c>
      <c r="B400" t="s">
        <v>12</v>
      </c>
      <c r="C400" t="s">
        <v>57</v>
      </c>
      <c r="D400" s="2">
        <v>300</v>
      </c>
      <c r="E400" s="2">
        <v>450</v>
      </c>
      <c r="F400">
        <v>0</v>
      </c>
      <c r="G400">
        <v>0</v>
      </c>
      <c r="H400">
        <f t="shared" si="18"/>
        <v>0</v>
      </c>
      <c r="I400" s="33">
        <v>44934</v>
      </c>
      <c r="J400" t="s">
        <v>6</v>
      </c>
      <c r="K400" s="2">
        <f t="shared" si="19"/>
        <v>0</v>
      </c>
      <c r="L400" s="2">
        <f t="shared" si="20"/>
        <v>0</v>
      </c>
    </row>
    <row r="401" spans="1:12" x14ac:dyDescent="0.25">
      <c r="A401" t="s">
        <v>14</v>
      </c>
      <c r="B401" t="s">
        <v>16</v>
      </c>
      <c r="C401" t="s">
        <v>50</v>
      </c>
      <c r="D401" s="2">
        <v>320</v>
      </c>
      <c r="E401" s="2">
        <v>400</v>
      </c>
      <c r="F401">
        <v>0</v>
      </c>
      <c r="G401">
        <v>0</v>
      </c>
      <c r="H401">
        <f t="shared" si="18"/>
        <v>0</v>
      </c>
      <c r="I401" s="33">
        <v>44934</v>
      </c>
      <c r="J401" t="s">
        <v>6</v>
      </c>
      <c r="K401" s="2">
        <f t="shared" si="19"/>
        <v>0</v>
      </c>
      <c r="L401" s="2">
        <f t="shared" si="20"/>
        <v>0</v>
      </c>
    </row>
    <row r="402" spans="1:12" x14ac:dyDescent="0.25">
      <c r="A402" t="s">
        <v>15</v>
      </c>
      <c r="B402" t="s">
        <v>16</v>
      </c>
      <c r="C402" t="s">
        <v>58</v>
      </c>
      <c r="D402" s="2">
        <v>100</v>
      </c>
      <c r="E402" s="2">
        <v>150</v>
      </c>
      <c r="F402">
        <v>5</v>
      </c>
      <c r="G402">
        <v>5</v>
      </c>
      <c r="H402">
        <f t="shared" si="18"/>
        <v>0</v>
      </c>
      <c r="I402" s="33">
        <v>44934</v>
      </c>
      <c r="J402" t="s">
        <v>6</v>
      </c>
      <c r="K402" s="2">
        <f t="shared" si="19"/>
        <v>0</v>
      </c>
      <c r="L402" s="2">
        <f t="shared" si="20"/>
        <v>0</v>
      </c>
    </row>
    <row r="403" spans="1:12" x14ac:dyDescent="0.25">
      <c r="A403" t="s">
        <v>2</v>
      </c>
      <c r="B403" t="s">
        <v>21</v>
      </c>
      <c r="C403" t="s">
        <v>51</v>
      </c>
      <c r="D403" s="2">
        <v>25</v>
      </c>
      <c r="E403" s="2">
        <v>40</v>
      </c>
      <c r="F403">
        <v>19</v>
      </c>
      <c r="G403">
        <v>19</v>
      </c>
      <c r="H403">
        <f t="shared" si="18"/>
        <v>0</v>
      </c>
      <c r="I403" s="33">
        <v>44934</v>
      </c>
      <c r="J403" t="s">
        <v>6</v>
      </c>
      <c r="K403" s="2">
        <f t="shared" si="19"/>
        <v>0</v>
      </c>
      <c r="L403" s="2">
        <f t="shared" si="20"/>
        <v>0</v>
      </c>
    </row>
    <row r="404" spans="1:12" x14ac:dyDescent="0.25">
      <c r="A404" t="s">
        <v>7</v>
      </c>
      <c r="B404" t="s">
        <v>21</v>
      </c>
      <c r="C404" t="s">
        <v>59</v>
      </c>
      <c r="D404" s="2">
        <v>30</v>
      </c>
      <c r="E404" s="2">
        <v>50</v>
      </c>
      <c r="F404">
        <v>4</v>
      </c>
      <c r="G404">
        <v>4</v>
      </c>
      <c r="H404">
        <f t="shared" si="18"/>
        <v>0</v>
      </c>
      <c r="I404" s="33">
        <v>44934</v>
      </c>
      <c r="J404" t="s">
        <v>6</v>
      </c>
      <c r="K404" s="2">
        <f t="shared" si="19"/>
        <v>0</v>
      </c>
      <c r="L404" s="2">
        <f t="shared" si="20"/>
        <v>0</v>
      </c>
    </row>
    <row r="405" spans="1:12" x14ac:dyDescent="0.25">
      <c r="A405" t="s">
        <v>9</v>
      </c>
      <c r="B405" t="s">
        <v>21</v>
      </c>
      <c r="C405" t="s">
        <v>60</v>
      </c>
      <c r="D405" s="2">
        <v>25</v>
      </c>
      <c r="E405" s="2">
        <v>40</v>
      </c>
      <c r="F405">
        <v>6</v>
      </c>
      <c r="G405">
        <v>3</v>
      </c>
      <c r="H405">
        <f t="shared" si="18"/>
        <v>3</v>
      </c>
      <c r="I405" s="33">
        <v>44934</v>
      </c>
      <c r="J405" t="s">
        <v>6</v>
      </c>
      <c r="K405" s="2">
        <f t="shared" si="19"/>
        <v>120</v>
      </c>
      <c r="L405" s="2">
        <f t="shared" si="20"/>
        <v>45</v>
      </c>
    </row>
    <row r="406" spans="1:12" x14ac:dyDescent="0.25">
      <c r="A406" t="s">
        <v>23</v>
      </c>
      <c r="B406" t="s">
        <v>21</v>
      </c>
      <c r="C406" t="s">
        <v>61</v>
      </c>
      <c r="D406" s="2">
        <v>25</v>
      </c>
      <c r="E406" s="2">
        <v>40</v>
      </c>
      <c r="F406">
        <v>9</v>
      </c>
      <c r="G406">
        <v>5</v>
      </c>
      <c r="H406">
        <f t="shared" si="18"/>
        <v>4</v>
      </c>
      <c r="I406" s="33">
        <v>44934</v>
      </c>
      <c r="J406" t="s">
        <v>6</v>
      </c>
      <c r="K406" s="2">
        <f t="shared" si="19"/>
        <v>160</v>
      </c>
      <c r="L406" s="2">
        <f t="shared" si="20"/>
        <v>60</v>
      </c>
    </row>
    <row r="407" spans="1:12" x14ac:dyDescent="0.25">
      <c r="A407" t="s">
        <v>13</v>
      </c>
      <c r="B407" t="s">
        <v>21</v>
      </c>
      <c r="C407" t="s">
        <v>62</v>
      </c>
      <c r="D407" s="2">
        <v>30</v>
      </c>
      <c r="E407" s="2">
        <v>55</v>
      </c>
      <c r="F407">
        <v>2</v>
      </c>
      <c r="G407">
        <v>2</v>
      </c>
      <c r="H407">
        <f t="shared" si="18"/>
        <v>0</v>
      </c>
      <c r="I407" s="33">
        <v>44934</v>
      </c>
      <c r="J407" t="s">
        <v>6</v>
      </c>
      <c r="K407" s="2">
        <f t="shared" si="19"/>
        <v>0</v>
      </c>
      <c r="L407" s="2">
        <f t="shared" si="20"/>
        <v>0</v>
      </c>
    </row>
    <row r="408" spans="1:12" x14ac:dyDescent="0.25">
      <c r="A408" t="s">
        <v>17</v>
      </c>
      <c r="B408" t="s">
        <v>21</v>
      </c>
      <c r="C408" t="s">
        <v>63</v>
      </c>
      <c r="D408" s="2">
        <v>40</v>
      </c>
      <c r="E408" s="2">
        <v>65</v>
      </c>
      <c r="F408">
        <v>15</v>
      </c>
      <c r="G408">
        <v>14</v>
      </c>
      <c r="H408">
        <f t="shared" si="18"/>
        <v>1</v>
      </c>
      <c r="I408" s="33">
        <v>44934</v>
      </c>
      <c r="J408" t="s">
        <v>6</v>
      </c>
      <c r="K408" s="2">
        <f t="shared" si="19"/>
        <v>65</v>
      </c>
      <c r="L408" s="2">
        <f t="shared" si="20"/>
        <v>25</v>
      </c>
    </row>
    <row r="409" spans="1:12" x14ac:dyDescent="0.25">
      <c r="A409" t="s">
        <v>34</v>
      </c>
      <c r="B409" t="s">
        <v>21</v>
      </c>
      <c r="C409" t="s">
        <v>64</v>
      </c>
      <c r="D409" s="2">
        <v>50</v>
      </c>
      <c r="E409" s="2">
        <v>70</v>
      </c>
      <c r="F409">
        <v>0</v>
      </c>
      <c r="G409">
        <v>0</v>
      </c>
      <c r="H409">
        <f t="shared" si="18"/>
        <v>0</v>
      </c>
      <c r="I409" s="33">
        <v>44934</v>
      </c>
      <c r="J409" t="s">
        <v>6</v>
      </c>
      <c r="K409" s="2">
        <f t="shared" si="19"/>
        <v>0</v>
      </c>
      <c r="L409" s="2">
        <f t="shared" si="20"/>
        <v>0</v>
      </c>
    </row>
    <row r="410" spans="1:12" x14ac:dyDescent="0.25">
      <c r="A410" t="s">
        <v>18</v>
      </c>
      <c r="B410" t="s">
        <v>21</v>
      </c>
      <c r="C410" t="s">
        <v>65</v>
      </c>
      <c r="D410" s="2">
        <v>20</v>
      </c>
      <c r="E410" s="2">
        <v>30</v>
      </c>
      <c r="F410">
        <v>20</v>
      </c>
      <c r="G410">
        <v>15</v>
      </c>
      <c r="H410">
        <f t="shared" si="18"/>
        <v>5</v>
      </c>
      <c r="I410" s="33">
        <v>44934</v>
      </c>
      <c r="J410" t="s">
        <v>6</v>
      </c>
      <c r="K410" s="2">
        <f t="shared" si="19"/>
        <v>150</v>
      </c>
      <c r="L410" s="2">
        <f t="shared" si="20"/>
        <v>50</v>
      </c>
    </row>
    <row r="411" spans="1:12" x14ac:dyDescent="0.25">
      <c r="A411" t="s">
        <v>19</v>
      </c>
      <c r="B411" t="s">
        <v>21</v>
      </c>
      <c r="C411" t="s">
        <v>66</v>
      </c>
      <c r="D411" s="2">
        <v>10</v>
      </c>
      <c r="E411" s="2">
        <v>20</v>
      </c>
      <c r="F411">
        <v>11</v>
      </c>
      <c r="G411">
        <v>8</v>
      </c>
      <c r="H411">
        <f t="shared" si="18"/>
        <v>3</v>
      </c>
      <c r="I411" s="33">
        <v>44934</v>
      </c>
      <c r="J411" t="s">
        <v>6</v>
      </c>
      <c r="K411" s="2">
        <f t="shared" si="19"/>
        <v>60</v>
      </c>
      <c r="L411" s="2">
        <f t="shared" si="20"/>
        <v>30</v>
      </c>
    </row>
    <row r="412" spans="1:12" x14ac:dyDescent="0.25">
      <c r="A412" t="s">
        <v>20</v>
      </c>
      <c r="B412" t="s">
        <v>21</v>
      </c>
      <c r="C412" t="s">
        <v>67</v>
      </c>
      <c r="D412" s="2">
        <v>60</v>
      </c>
      <c r="E412" s="2">
        <v>100</v>
      </c>
      <c r="F412">
        <v>6</v>
      </c>
      <c r="G412">
        <v>6</v>
      </c>
      <c r="H412">
        <f t="shared" si="18"/>
        <v>0</v>
      </c>
      <c r="I412" s="33">
        <v>44934</v>
      </c>
      <c r="J412" t="s">
        <v>6</v>
      </c>
      <c r="K412" s="2">
        <f t="shared" si="19"/>
        <v>0</v>
      </c>
      <c r="L412" s="2">
        <f t="shared" si="20"/>
        <v>0</v>
      </c>
    </row>
    <row r="413" spans="1:12" x14ac:dyDescent="0.25">
      <c r="A413" t="s">
        <v>22</v>
      </c>
      <c r="B413" t="s">
        <v>24</v>
      </c>
      <c r="C413" t="s">
        <v>68</v>
      </c>
      <c r="D413" s="2">
        <v>50</v>
      </c>
      <c r="E413" s="2">
        <v>70</v>
      </c>
      <c r="F413">
        <v>5</v>
      </c>
      <c r="G413">
        <v>4</v>
      </c>
      <c r="H413">
        <f t="shared" si="18"/>
        <v>1</v>
      </c>
      <c r="I413" s="33">
        <v>44934</v>
      </c>
      <c r="J413" t="s">
        <v>6</v>
      </c>
      <c r="K413" s="2">
        <f t="shared" si="19"/>
        <v>70</v>
      </c>
      <c r="L413" s="2">
        <f t="shared" si="20"/>
        <v>20</v>
      </c>
    </row>
    <row r="414" spans="1:12" x14ac:dyDescent="0.25">
      <c r="A414" t="s">
        <v>25</v>
      </c>
      <c r="B414" t="s">
        <v>24</v>
      </c>
      <c r="C414" t="s">
        <v>69</v>
      </c>
      <c r="D414" s="2">
        <v>45</v>
      </c>
      <c r="E414" s="2">
        <v>65</v>
      </c>
      <c r="F414">
        <v>1</v>
      </c>
      <c r="G414">
        <v>1</v>
      </c>
      <c r="H414">
        <f t="shared" si="18"/>
        <v>0</v>
      </c>
      <c r="I414" s="33">
        <v>44934</v>
      </c>
      <c r="J414" t="s">
        <v>6</v>
      </c>
      <c r="K414" s="2">
        <f t="shared" si="19"/>
        <v>0</v>
      </c>
      <c r="L414" s="2">
        <f t="shared" si="20"/>
        <v>0</v>
      </c>
    </row>
    <row r="415" spans="1:12" x14ac:dyDescent="0.25">
      <c r="A415" t="s">
        <v>26</v>
      </c>
      <c r="B415" t="s">
        <v>24</v>
      </c>
      <c r="C415" t="s">
        <v>70</v>
      </c>
      <c r="D415" s="2">
        <v>50</v>
      </c>
      <c r="E415" s="2">
        <v>70</v>
      </c>
      <c r="F415">
        <v>0</v>
      </c>
      <c r="G415">
        <v>0</v>
      </c>
      <c r="H415">
        <f t="shared" si="18"/>
        <v>0</v>
      </c>
      <c r="I415" s="33">
        <v>44934</v>
      </c>
      <c r="J415" t="s">
        <v>6</v>
      </c>
      <c r="K415" s="2">
        <f t="shared" si="19"/>
        <v>0</v>
      </c>
      <c r="L415" s="2">
        <f t="shared" si="20"/>
        <v>0</v>
      </c>
    </row>
    <row r="416" spans="1:12" x14ac:dyDescent="0.25">
      <c r="A416" t="s">
        <v>27</v>
      </c>
      <c r="B416" t="s">
        <v>24</v>
      </c>
      <c r="C416" t="s">
        <v>71</v>
      </c>
      <c r="D416" s="2">
        <v>10</v>
      </c>
      <c r="E416" s="2">
        <v>15</v>
      </c>
      <c r="F416">
        <v>10</v>
      </c>
      <c r="G416">
        <v>3</v>
      </c>
      <c r="H416">
        <f t="shared" si="18"/>
        <v>7</v>
      </c>
      <c r="I416" s="33">
        <v>44934</v>
      </c>
      <c r="J416" t="s">
        <v>6</v>
      </c>
      <c r="K416" s="2">
        <f t="shared" si="19"/>
        <v>105</v>
      </c>
      <c r="L416" s="2">
        <f t="shared" si="20"/>
        <v>35</v>
      </c>
    </row>
    <row r="417" spans="1:12" x14ac:dyDescent="0.25">
      <c r="A417" t="s">
        <v>28</v>
      </c>
      <c r="B417" t="s">
        <v>24</v>
      </c>
      <c r="C417" t="s">
        <v>72</v>
      </c>
      <c r="D417" s="2">
        <v>20</v>
      </c>
      <c r="E417" s="2">
        <v>25</v>
      </c>
      <c r="F417">
        <v>4</v>
      </c>
      <c r="G417">
        <v>0</v>
      </c>
      <c r="H417">
        <f t="shared" si="18"/>
        <v>4</v>
      </c>
      <c r="I417" s="33">
        <v>44934</v>
      </c>
      <c r="J417" t="s">
        <v>6</v>
      </c>
      <c r="K417" s="2">
        <f t="shared" si="19"/>
        <v>100</v>
      </c>
      <c r="L417" s="2">
        <f t="shared" si="20"/>
        <v>20</v>
      </c>
    </row>
    <row r="418" spans="1:12" x14ac:dyDescent="0.25">
      <c r="A418" t="s">
        <v>29</v>
      </c>
      <c r="B418" t="s">
        <v>30</v>
      </c>
      <c r="C418" t="s">
        <v>73</v>
      </c>
      <c r="D418" s="2">
        <v>25</v>
      </c>
      <c r="E418" s="2">
        <v>30</v>
      </c>
      <c r="F418">
        <v>10</v>
      </c>
      <c r="G418">
        <v>3</v>
      </c>
      <c r="H418">
        <f t="shared" si="18"/>
        <v>7</v>
      </c>
      <c r="I418" s="33">
        <v>44934</v>
      </c>
      <c r="J418" t="s">
        <v>6</v>
      </c>
      <c r="K418" s="2">
        <f t="shared" si="19"/>
        <v>210</v>
      </c>
      <c r="L418" s="2">
        <f t="shared" si="20"/>
        <v>35</v>
      </c>
    </row>
    <row r="419" spans="1:12" x14ac:dyDescent="0.25">
      <c r="A419" t="s">
        <v>31</v>
      </c>
      <c r="B419" t="s">
        <v>30</v>
      </c>
      <c r="C419" t="s">
        <v>74</v>
      </c>
      <c r="D419" s="2">
        <v>25</v>
      </c>
      <c r="E419" s="2">
        <v>30</v>
      </c>
      <c r="F419">
        <v>8</v>
      </c>
      <c r="G419">
        <v>6</v>
      </c>
      <c r="H419">
        <f t="shared" si="18"/>
        <v>2</v>
      </c>
      <c r="I419" s="33">
        <v>44934</v>
      </c>
      <c r="J419" t="s">
        <v>6</v>
      </c>
      <c r="K419" s="2">
        <f t="shared" si="19"/>
        <v>60</v>
      </c>
      <c r="L419" s="2">
        <f t="shared" si="20"/>
        <v>10</v>
      </c>
    </row>
    <row r="420" spans="1:12" x14ac:dyDescent="0.25">
      <c r="A420" t="s">
        <v>32</v>
      </c>
      <c r="B420" t="s">
        <v>30</v>
      </c>
      <c r="C420" t="s">
        <v>75</v>
      </c>
      <c r="D420" s="2">
        <v>25</v>
      </c>
      <c r="E420" s="2">
        <v>30</v>
      </c>
      <c r="F420">
        <v>10</v>
      </c>
      <c r="G420">
        <v>2</v>
      </c>
      <c r="H420">
        <f t="shared" si="18"/>
        <v>8</v>
      </c>
      <c r="I420" s="33">
        <v>44934</v>
      </c>
      <c r="J420" t="s">
        <v>6</v>
      </c>
      <c r="K420" s="2">
        <f t="shared" si="19"/>
        <v>240</v>
      </c>
      <c r="L420" s="2">
        <f t="shared" si="20"/>
        <v>40</v>
      </c>
    </row>
    <row r="421" spans="1:12" x14ac:dyDescent="0.25">
      <c r="A421" t="s">
        <v>33</v>
      </c>
      <c r="B421" t="s">
        <v>30</v>
      </c>
      <c r="C421" t="s">
        <v>76</v>
      </c>
      <c r="D421" s="2">
        <v>30</v>
      </c>
      <c r="E421" s="2">
        <v>35</v>
      </c>
      <c r="F421">
        <v>9</v>
      </c>
      <c r="G421">
        <v>4</v>
      </c>
      <c r="H421">
        <f t="shared" si="18"/>
        <v>5</v>
      </c>
      <c r="I421" s="33">
        <v>44934</v>
      </c>
      <c r="J421" t="s">
        <v>6</v>
      </c>
      <c r="K421" s="2">
        <f t="shared" si="19"/>
        <v>175</v>
      </c>
      <c r="L421" s="2">
        <f t="shared" si="20"/>
        <v>25</v>
      </c>
    </row>
    <row r="422" spans="1:12" x14ac:dyDescent="0.25">
      <c r="A422" t="s">
        <v>2</v>
      </c>
      <c r="B422" t="s">
        <v>3</v>
      </c>
      <c r="C422" t="s">
        <v>48</v>
      </c>
      <c r="D422" s="2">
        <v>100</v>
      </c>
      <c r="E422" s="2">
        <v>200</v>
      </c>
      <c r="F422">
        <v>1</v>
      </c>
      <c r="G422">
        <v>0</v>
      </c>
      <c r="H422">
        <f t="shared" si="18"/>
        <v>1</v>
      </c>
      <c r="I422" s="33">
        <v>44935</v>
      </c>
      <c r="J422" t="s">
        <v>10</v>
      </c>
      <c r="K422" s="2">
        <f t="shared" si="19"/>
        <v>200</v>
      </c>
      <c r="L422" s="2">
        <f t="shared" si="20"/>
        <v>100</v>
      </c>
    </row>
    <row r="423" spans="1:12" x14ac:dyDescent="0.25">
      <c r="A423" t="s">
        <v>7</v>
      </c>
      <c r="B423" t="s">
        <v>3</v>
      </c>
      <c r="C423" t="s">
        <v>77</v>
      </c>
      <c r="D423" s="2">
        <v>200</v>
      </c>
      <c r="E423" s="2">
        <v>300</v>
      </c>
      <c r="F423">
        <v>2</v>
      </c>
      <c r="G423">
        <v>2</v>
      </c>
      <c r="H423">
        <f t="shared" si="18"/>
        <v>0</v>
      </c>
      <c r="I423" s="33">
        <v>44935</v>
      </c>
      <c r="J423" t="s">
        <v>10</v>
      </c>
      <c r="K423" s="2">
        <f t="shared" si="19"/>
        <v>0</v>
      </c>
      <c r="L423" s="2">
        <f t="shared" si="20"/>
        <v>0</v>
      </c>
    </row>
    <row r="424" spans="1:12" x14ac:dyDescent="0.25">
      <c r="A424" t="s">
        <v>23</v>
      </c>
      <c r="B424" t="s">
        <v>3</v>
      </c>
      <c r="C424" t="s">
        <v>52</v>
      </c>
      <c r="D424" s="2">
        <v>150</v>
      </c>
      <c r="E424" s="2">
        <v>250</v>
      </c>
      <c r="F424">
        <v>1</v>
      </c>
      <c r="G424">
        <v>1</v>
      </c>
      <c r="H424">
        <f t="shared" si="18"/>
        <v>0</v>
      </c>
      <c r="I424" s="33">
        <v>44935</v>
      </c>
      <c r="J424" t="s">
        <v>10</v>
      </c>
      <c r="K424" s="2">
        <f t="shared" si="19"/>
        <v>0</v>
      </c>
      <c r="L424" s="2">
        <f t="shared" si="20"/>
        <v>0</v>
      </c>
    </row>
    <row r="425" spans="1:12" x14ac:dyDescent="0.25">
      <c r="A425" t="s">
        <v>9</v>
      </c>
      <c r="B425" t="s">
        <v>3</v>
      </c>
      <c r="C425" t="s">
        <v>53</v>
      </c>
      <c r="D425" s="2">
        <v>100</v>
      </c>
      <c r="E425" s="2">
        <v>200</v>
      </c>
      <c r="F425">
        <v>3</v>
      </c>
      <c r="G425">
        <v>1</v>
      </c>
      <c r="H425">
        <f t="shared" si="18"/>
        <v>2</v>
      </c>
      <c r="I425" s="33">
        <v>44935</v>
      </c>
      <c r="J425" t="s">
        <v>10</v>
      </c>
      <c r="K425" s="2">
        <f t="shared" si="19"/>
        <v>400</v>
      </c>
      <c r="L425" s="2">
        <f t="shared" si="20"/>
        <v>200</v>
      </c>
    </row>
    <row r="426" spans="1:12" x14ac:dyDescent="0.25">
      <c r="A426" t="s">
        <v>2</v>
      </c>
      <c r="B426" t="s">
        <v>12</v>
      </c>
      <c r="C426" t="s">
        <v>49</v>
      </c>
      <c r="D426" s="2">
        <v>250</v>
      </c>
      <c r="E426" s="2">
        <v>350</v>
      </c>
      <c r="F426">
        <v>2</v>
      </c>
      <c r="G426">
        <v>0</v>
      </c>
      <c r="H426">
        <f t="shared" si="18"/>
        <v>2</v>
      </c>
      <c r="I426" s="33">
        <v>44935</v>
      </c>
      <c r="J426" t="s">
        <v>10</v>
      </c>
      <c r="K426" s="2">
        <f t="shared" si="19"/>
        <v>700</v>
      </c>
      <c r="L426" s="2">
        <f t="shared" si="20"/>
        <v>200</v>
      </c>
    </row>
    <row r="427" spans="1:12" x14ac:dyDescent="0.25">
      <c r="A427" t="s">
        <v>7</v>
      </c>
      <c r="B427" t="s">
        <v>12</v>
      </c>
      <c r="C427" t="s">
        <v>54</v>
      </c>
      <c r="D427" s="2">
        <v>300</v>
      </c>
      <c r="E427" s="2">
        <v>400</v>
      </c>
      <c r="F427">
        <v>1</v>
      </c>
      <c r="G427">
        <v>1</v>
      </c>
      <c r="H427">
        <f t="shared" si="18"/>
        <v>0</v>
      </c>
      <c r="I427" s="33">
        <v>44935</v>
      </c>
      <c r="J427" t="s">
        <v>10</v>
      </c>
      <c r="K427" s="2">
        <f t="shared" si="19"/>
        <v>0</v>
      </c>
      <c r="L427" s="2">
        <f t="shared" si="20"/>
        <v>0</v>
      </c>
    </row>
    <row r="428" spans="1:12" x14ac:dyDescent="0.25">
      <c r="A428" t="s">
        <v>8</v>
      </c>
      <c r="B428" t="s">
        <v>12</v>
      </c>
      <c r="C428" t="s">
        <v>55</v>
      </c>
      <c r="D428" s="2">
        <v>250</v>
      </c>
      <c r="E428" s="2">
        <v>350</v>
      </c>
      <c r="F428">
        <v>2</v>
      </c>
      <c r="G428">
        <v>1</v>
      </c>
      <c r="H428">
        <f t="shared" si="18"/>
        <v>1</v>
      </c>
      <c r="I428" s="33">
        <v>44935</v>
      </c>
      <c r="J428" t="s">
        <v>10</v>
      </c>
      <c r="K428" s="2">
        <f t="shared" si="19"/>
        <v>350</v>
      </c>
      <c r="L428" s="2">
        <f t="shared" si="20"/>
        <v>100</v>
      </c>
    </row>
    <row r="429" spans="1:12" x14ac:dyDescent="0.25">
      <c r="A429" t="s">
        <v>9</v>
      </c>
      <c r="B429" t="s">
        <v>12</v>
      </c>
      <c r="C429" t="s">
        <v>56</v>
      </c>
      <c r="D429" s="2">
        <v>250</v>
      </c>
      <c r="E429" s="2">
        <v>350</v>
      </c>
      <c r="F429">
        <v>2</v>
      </c>
      <c r="G429">
        <v>2</v>
      </c>
      <c r="H429">
        <f t="shared" si="18"/>
        <v>0</v>
      </c>
      <c r="I429" s="33">
        <v>44935</v>
      </c>
      <c r="J429" t="s">
        <v>10</v>
      </c>
      <c r="K429" s="2">
        <f t="shared" si="19"/>
        <v>0</v>
      </c>
      <c r="L429" s="2">
        <f t="shared" si="20"/>
        <v>0</v>
      </c>
    </row>
    <row r="430" spans="1:12" x14ac:dyDescent="0.25">
      <c r="A430" t="s">
        <v>13</v>
      </c>
      <c r="B430" t="s">
        <v>12</v>
      </c>
      <c r="C430" t="s">
        <v>57</v>
      </c>
      <c r="D430" s="2">
        <v>300</v>
      </c>
      <c r="E430" s="2">
        <v>450</v>
      </c>
      <c r="F430">
        <v>2</v>
      </c>
      <c r="G430">
        <v>0</v>
      </c>
      <c r="H430">
        <f t="shared" si="18"/>
        <v>2</v>
      </c>
      <c r="I430" s="33">
        <v>44935</v>
      </c>
      <c r="J430" t="s">
        <v>10</v>
      </c>
      <c r="K430" s="2">
        <f t="shared" si="19"/>
        <v>900</v>
      </c>
      <c r="L430" s="2">
        <f t="shared" si="20"/>
        <v>300</v>
      </c>
    </row>
    <row r="431" spans="1:12" x14ac:dyDescent="0.25">
      <c r="A431" t="s">
        <v>14</v>
      </c>
      <c r="B431" t="s">
        <v>16</v>
      </c>
      <c r="C431" t="s">
        <v>50</v>
      </c>
      <c r="D431" s="2">
        <v>320</v>
      </c>
      <c r="E431" s="2">
        <v>400</v>
      </c>
      <c r="F431">
        <v>0</v>
      </c>
      <c r="G431">
        <v>0</v>
      </c>
      <c r="H431">
        <f t="shared" si="18"/>
        <v>0</v>
      </c>
      <c r="I431" s="33">
        <v>44935</v>
      </c>
      <c r="J431" t="s">
        <v>10</v>
      </c>
      <c r="K431" s="2">
        <f t="shared" si="19"/>
        <v>0</v>
      </c>
      <c r="L431" s="2">
        <f t="shared" si="20"/>
        <v>0</v>
      </c>
    </row>
    <row r="432" spans="1:12" x14ac:dyDescent="0.25">
      <c r="A432" t="s">
        <v>15</v>
      </c>
      <c r="B432" t="s">
        <v>16</v>
      </c>
      <c r="C432" t="s">
        <v>58</v>
      </c>
      <c r="D432" s="2">
        <v>100</v>
      </c>
      <c r="E432" s="2">
        <v>150</v>
      </c>
      <c r="F432">
        <v>5</v>
      </c>
      <c r="G432">
        <v>3</v>
      </c>
      <c r="H432">
        <f t="shared" si="18"/>
        <v>2</v>
      </c>
      <c r="I432" s="33">
        <v>44935</v>
      </c>
      <c r="J432" t="s">
        <v>10</v>
      </c>
      <c r="K432" s="2">
        <f t="shared" si="19"/>
        <v>300</v>
      </c>
      <c r="L432" s="2">
        <f t="shared" si="20"/>
        <v>100</v>
      </c>
    </row>
    <row r="433" spans="1:12" x14ac:dyDescent="0.25">
      <c r="A433" t="s">
        <v>2</v>
      </c>
      <c r="B433" t="s">
        <v>21</v>
      </c>
      <c r="C433" t="s">
        <v>51</v>
      </c>
      <c r="D433" s="2">
        <v>25</v>
      </c>
      <c r="E433" s="2">
        <v>40</v>
      </c>
      <c r="F433">
        <v>19</v>
      </c>
      <c r="G433">
        <v>3</v>
      </c>
      <c r="H433">
        <f t="shared" si="18"/>
        <v>16</v>
      </c>
      <c r="I433" s="33">
        <v>44935</v>
      </c>
      <c r="J433" t="s">
        <v>10</v>
      </c>
      <c r="K433" s="2">
        <f t="shared" si="19"/>
        <v>640</v>
      </c>
      <c r="L433" s="2">
        <f t="shared" si="20"/>
        <v>240</v>
      </c>
    </row>
    <row r="434" spans="1:12" x14ac:dyDescent="0.25">
      <c r="A434" t="s">
        <v>7</v>
      </c>
      <c r="B434" t="s">
        <v>21</v>
      </c>
      <c r="C434" t="s">
        <v>59</v>
      </c>
      <c r="D434" s="2">
        <v>30</v>
      </c>
      <c r="E434" s="2">
        <v>50</v>
      </c>
      <c r="F434">
        <v>4</v>
      </c>
      <c r="G434">
        <v>4</v>
      </c>
      <c r="H434">
        <f t="shared" si="18"/>
        <v>0</v>
      </c>
      <c r="I434" s="33">
        <v>44935</v>
      </c>
      <c r="J434" t="s">
        <v>10</v>
      </c>
      <c r="K434" s="2">
        <f t="shared" si="19"/>
        <v>0</v>
      </c>
      <c r="L434" s="2">
        <f t="shared" si="20"/>
        <v>0</v>
      </c>
    </row>
    <row r="435" spans="1:12" x14ac:dyDescent="0.25">
      <c r="A435" t="s">
        <v>9</v>
      </c>
      <c r="B435" t="s">
        <v>21</v>
      </c>
      <c r="C435" t="s">
        <v>60</v>
      </c>
      <c r="D435" s="2">
        <v>25</v>
      </c>
      <c r="E435" s="2">
        <v>40</v>
      </c>
      <c r="F435">
        <v>3</v>
      </c>
      <c r="G435">
        <v>2</v>
      </c>
      <c r="H435">
        <f t="shared" si="18"/>
        <v>1</v>
      </c>
      <c r="I435" s="33">
        <v>44935</v>
      </c>
      <c r="J435" t="s">
        <v>10</v>
      </c>
      <c r="K435" s="2">
        <f t="shared" si="19"/>
        <v>40</v>
      </c>
      <c r="L435" s="2">
        <f t="shared" si="20"/>
        <v>15</v>
      </c>
    </row>
    <row r="436" spans="1:12" x14ac:dyDescent="0.25">
      <c r="A436" t="s">
        <v>23</v>
      </c>
      <c r="B436" t="s">
        <v>21</v>
      </c>
      <c r="C436" t="s">
        <v>61</v>
      </c>
      <c r="D436" s="2">
        <v>25</v>
      </c>
      <c r="E436" s="2">
        <v>40</v>
      </c>
      <c r="F436">
        <v>5</v>
      </c>
      <c r="G436">
        <v>3</v>
      </c>
      <c r="H436">
        <f t="shared" si="18"/>
        <v>2</v>
      </c>
      <c r="I436" s="33">
        <v>44935</v>
      </c>
      <c r="J436" t="s">
        <v>10</v>
      </c>
      <c r="K436" s="2">
        <f t="shared" si="19"/>
        <v>80</v>
      </c>
      <c r="L436" s="2">
        <f t="shared" si="20"/>
        <v>30</v>
      </c>
    </row>
    <row r="437" spans="1:12" x14ac:dyDescent="0.25">
      <c r="A437" t="s">
        <v>13</v>
      </c>
      <c r="B437" t="s">
        <v>21</v>
      </c>
      <c r="C437" t="s">
        <v>62</v>
      </c>
      <c r="D437" s="2">
        <v>30</v>
      </c>
      <c r="E437" s="2">
        <v>55</v>
      </c>
      <c r="F437">
        <v>2</v>
      </c>
      <c r="G437">
        <v>1</v>
      </c>
      <c r="H437">
        <f t="shared" si="18"/>
        <v>1</v>
      </c>
      <c r="I437" s="33">
        <v>44935</v>
      </c>
      <c r="J437" t="s">
        <v>10</v>
      </c>
      <c r="K437" s="2">
        <f t="shared" si="19"/>
        <v>55</v>
      </c>
      <c r="L437" s="2">
        <f t="shared" si="20"/>
        <v>25</v>
      </c>
    </row>
    <row r="438" spans="1:12" x14ac:dyDescent="0.25">
      <c r="A438" t="s">
        <v>17</v>
      </c>
      <c r="B438" t="s">
        <v>21</v>
      </c>
      <c r="C438" t="s">
        <v>63</v>
      </c>
      <c r="D438" s="2">
        <v>40</v>
      </c>
      <c r="E438" s="2">
        <v>65</v>
      </c>
      <c r="F438">
        <v>14</v>
      </c>
      <c r="G438">
        <v>14</v>
      </c>
      <c r="H438">
        <f t="shared" si="18"/>
        <v>0</v>
      </c>
      <c r="I438" s="33">
        <v>44935</v>
      </c>
      <c r="J438" t="s">
        <v>10</v>
      </c>
      <c r="K438" s="2">
        <f t="shared" si="19"/>
        <v>0</v>
      </c>
      <c r="L438" s="2">
        <f t="shared" si="20"/>
        <v>0</v>
      </c>
    </row>
    <row r="439" spans="1:12" x14ac:dyDescent="0.25">
      <c r="A439" t="s">
        <v>34</v>
      </c>
      <c r="B439" t="s">
        <v>21</v>
      </c>
      <c r="C439" t="s">
        <v>64</v>
      </c>
      <c r="D439" s="2">
        <v>50</v>
      </c>
      <c r="E439" s="2">
        <v>70</v>
      </c>
      <c r="F439">
        <v>0</v>
      </c>
      <c r="G439">
        <v>0</v>
      </c>
      <c r="H439">
        <f t="shared" si="18"/>
        <v>0</v>
      </c>
      <c r="I439" s="33">
        <v>44935</v>
      </c>
      <c r="J439" t="s">
        <v>10</v>
      </c>
      <c r="K439" s="2">
        <f t="shared" si="19"/>
        <v>0</v>
      </c>
      <c r="L439" s="2">
        <f t="shared" si="20"/>
        <v>0</v>
      </c>
    </row>
    <row r="440" spans="1:12" x14ac:dyDescent="0.25">
      <c r="A440" t="s">
        <v>18</v>
      </c>
      <c r="B440" t="s">
        <v>21</v>
      </c>
      <c r="C440" t="s">
        <v>65</v>
      </c>
      <c r="D440" s="2">
        <v>20</v>
      </c>
      <c r="E440" s="2">
        <v>30</v>
      </c>
      <c r="F440">
        <v>15</v>
      </c>
      <c r="G440">
        <v>9</v>
      </c>
      <c r="H440">
        <f t="shared" si="18"/>
        <v>6</v>
      </c>
      <c r="I440" s="33">
        <v>44935</v>
      </c>
      <c r="J440" t="s">
        <v>10</v>
      </c>
      <c r="K440" s="2">
        <f t="shared" si="19"/>
        <v>180</v>
      </c>
      <c r="L440" s="2">
        <f t="shared" si="20"/>
        <v>60</v>
      </c>
    </row>
    <row r="441" spans="1:12" x14ac:dyDescent="0.25">
      <c r="A441" t="s">
        <v>19</v>
      </c>
      <c r="B441" t="s">
        <v>21</v>
      </c>
      <c r="C441" t="s">
        <v>66</v>
      </c>
      <c r="D441" s="2">
        <v>10</v>
      </c>
      <c r="E441" s="2">
        <v>20</v>
      </c>
      <c r="F441">
        <v>8</v>
      </c>
      <c r="G441">
        <v>8</v>
      </c>
      <c r="H441">
        <f t="shared" si="18"/>
        <v>0</v>
      </c>
      <c r="I441" s="33">
        <v>44935</v>
      </c>
      <c r="J441" t="s">
        <v>10</v>
      </c>
      <c r="K441" s="2">
        <f t="shared" si="19"/>
        <v>0</v>
      </c>
      <c r="L441" s="2">
        <f t="shared" si="20"/>
        <v>0</v>
      </c>
    </row>
    <row r="442" spans="1:12" x14ac:dyDescent="0.25">
      <c r="A442" t="s">
        <v>20</v>
      </c>
      <c r="B442" t="s">
        <v>21</v>
      </c>
      <c r="C442" t="s">
        <v>67</v>
      </c>
      <c r="D442" s="2">
        <v>60</v>
      </c>
      <c r="E442" s="2">
        <v>100</v>
      </c>
      <c r="F442">
        <v>6</v>
      </c>
      <c r="G442">
        <v>6</v>
      </c>
      <c r="H442">
        <f t="shared" si="18"/>
        <v>0</v>
      </c>
      <c r="I442" s="33">
        <v>44935</v>
      </c>
      <c r="J442" t="s">
        <v>10</v>
      </c>
      <c r="K442" s="2">
        <f t="shared" si="19"/>
        <v>0</v>
      </c>
      <c r="L442" s="2">
        <f t="shared" si="20"/>
        <v>0</v>
      </c>
    </row>
    <row r="443" spans="1:12" x14ac:dyDescent="0.25">
      <c r="A443" t="s">
        <v>22</v>
      </c>
      <c r="B443" t="s">
        <v>24</v>
      </c>
      <c r="C443" t="s">
        <v>68</v>
      </c>
      <c r="D443" s="2">
        <v>50</v>
      </c>
      <c r="E443" s="2">
        <v>70</v>
      </c>
      <c r="F443">
        <v>4</v>
      </c>
      <c r="G443">
        <v>0</v>
      </c>
      <c r="H443">
        <f t="shared" si="18"/>
        <v>4</v>
      </c>
      <c r="I443" s="33">
        <v>44935</v>
      </c>
      <c r="J443" t="s">
        <v>10</v>
      </c>
      <c r="K443" s="2">
        <f t="shared" si="19"/>
        <v>280</v>
      </c>
      <c r="L443" s="2">
        <f t="shared" si="20"/>
        <v>80</v>
      </c>
    </row>
    <row r="444" spans="1:12" x14ac:dyDescent="0.25">
      <c r="A444" t="s">
        <v>25</v>
      </c>
      <c r="B444" t="s">
        <v>24</v>
      </c>
      <c r="C444" t="s">
        <v>69</v>
      </c>
      <c r="D444" s="2">
        <v>45</v>
      </c>
      <c r="E444" s="2">
        <v>65</v>
      </c>
      <c r="F444">
        <v>1</v>
      </c>
      <c r="G444">
        <v>1</v>
      </c>
      <c r="H444">
        <f t="shared" si="18"/>
        <v>0</v>
      </c>
      <c r="I444" s="33">
        <v>44935</v>
      </c>
      <c r="J444" t="s">
        <v>10</v>
      </c>
      <c r="K444" s="2">
        <f t="shared" si="19"/>
        <v>0</v>
      </c>
      <c r="L444" s="2">
        <f t="shared" si="20"/>
        <v>0</v>
      </c>
    </row>
    <row r="445" spans="1:12" x14ac:dyDescent="0.25">
      <c r="A445" t="s">
        <v>26</v>
      </c>
      <c r="B445" t="s">
        <v>24</v>
      </c>
      <c r="C445" t="s">
        <v>70</v>
      </c>
      <c r="D445" s="2">
        <v>50</v>
      </c>
      <c r="E445" s="2">
        <v>70</v>
      </c>
      <c r="F445">
        <v>0</v>
      </c>
      <c r="G445">
        <v>0</v>
      </c>
      <c r="H445">
        <f t="shared" si="18"/>
        <v>0</v>
      </c>
      <c r="I445" s="33">
        <v>44935</v>
      </c>
      <c r="J445" t="s">
        <v>10</v>
      </c>
      <c r="K445" s="2">
        <f t="shared" si="19"/>
        <v>0</v>
      </c>
      <c r="L445" s="2">
        <f t="shared" si="20"/>
        <v>0</v>
      </c>
    </row>
    <row r="446" spans="1:12" x14ac:dyDescent="0.25">
      <c r="A446" t="s">
        <v>27</v>
      </c>
      <c r="B446" t="s">
        <v>24</v>
      </c>
      <c r="C446" t="s">
        <v>71</v>
      </c>
      <c r="D446" s="2">
        <v>10</v>
      </c>
      <c r="E446" s="2">
        <v>15</v>
      </c>
      <c r="F446">
        <v>8</v>
      </c>
      <c r="G446">
        <v>2</v>
      </c>
      <c r="H446">
        <f t="shared" si="18"/>
        <v>6</v>
      </c>
      <c r="I446" s="33">
        <v>44935</v>
      </c>
      <c r="J446" t="s">
        <v>10</v>
      </c>
      <c r="K446" s="2">
        <f t="shared" si="19"/>
        <v>90</v>
      </c>
      <c r="L446" s="2">
        <f t="shared" si="20"/>
        <v>30</v>
      </c>
    </row>
    <row r="447" spans="1:12" x14ac:dyDescent="0.25">
      <c r="A447" t="s">
        <v>28</v>
      </c>
      <c r="B447" t="s">
        <v>24</v>
      </c>
      <c r="C447" t="s">
        <v>72</v>
      </c>
      <c r="D447" s="2">
        <v>20</v>
      </c>
      <c r="E447" s="2">
        <v>25</v>
      </c>
      <c r="F447">
        <v>5</v>
      </c>
      <c r="G447">
        <v>4</v>
      </c>
      <c r="H447">
        <f t="shared" si="18"/>
        <v>1</v>
      </c>
      <c r="I447" s="33">
        <v>44935</v>
      </c>
      <c r="J447" t="s">
        <v>10</v>
      </c>
      <c r="K447" s="2">
        <f t="shared" si="19"/>
        <v>25</v>
      </c>
      <c r="L447" s="2">
        <f t="shared" si="20"/>
        <v>5</v>
      </c>
    </row>
    <row r="448" spans="1:12" x14ac:dyDescent="0.25">
      <c r="A448" t="s">
        <v>29</v>
      </c>
      <c r="B448" t="s">
        <v>30</v>
      </c>
      <c r="C448" t="s">
        <v>73</v>
      </c>
      <c r="D448" s="2">
        <v>25</v>
      </c>
      <c r="E448" s="2">
        <v>30</v>
      </c>
      <c r="F448">
        <v>3</v>
      </c>
      <c r="G448">
        <v>0</v>
      </c>
      <c r="H448">
        <f t="shared" si="18"/>
        <v>3</v>
      </c>
      <c r="I448" s="33">
        <v>44935</v>
      </c>
      <c r="J448" t="s">
        <v>10</v>
      </c>
      <c r="K448" s="2">
        <f t="shared" si="19"/>
        <v>90</v>
      </c>
      <c r="L448" s="2">
        <f t="shared" si="20"/>
        <v>15</v>
      </c>
    </row>
    <row r="449" spans="1:12" x14ac:dyDescent="0.25">
      <c r="A449" t="s">
        <v>31</v>
      </c>
      <c r="B449" t="s">
        <v>30</v>
      </c>
      <c r="C449" t="s">
        <v>74</v>
      </c>
      <c r="D449" s="2">
        <v>25</v>
      </c>
      <c r="E449" s="2">
        <v>30</v>
      </c>
      <c r="F449">
        <v>6</v>
      </c>
      <c r="G449">
        <v>2</v>
      </c>
      <c r="H449">
        <f t="shared" si="18"/>
        <v>4</v>
      </c>
      <c r="I449" s="33">
        <v>44935</v>
      </c>
      <c r="J449" t="s">
        <v>10</v>
      </c>
      <c r="K449" s="2">
        <f t="shared" si="19"/>
        <v>120</v>
      </c>
      <c r="L449" s="2">
        <f t="shared" si="20"/>
        <v>20</v>
      </c>
    </row>
    <row r="450" spans="1:12" x14ac:dyDescent="0.25">
      <c r="A450" t="s">
        <v>32</v>
      </c>
      <c r="B450" t="s">
        <v>30</v>
      </c>
      <c r="C450" t="s">
        <v>75</v>
      </c>
      <c r="D450" s="2">
        <v>25</v>
      </c>
      <c r="E450" s="2">
        <v>30</v>
      </c>
      <c r="F450">
        <v>2</v>
      </c>
      <c r="G450">
        <v>1</v>
      </c>
      <c r="H450">
        <f t="shared" ref="H450:H513" si="21">F450-G450</f>
        <v>1</v>
      </c>
      <c r="I450" s="33">
        <v>44935</v>
      </c>
      <c r="J450" t="s">
        <v>10</v>
      </c>
      <c r="K450" s="2">
        <f t="shared" ref="K450:K513" si="22">E450*H450</f>
        <v>30</v>
      </c>
      <c r="L450" s="2">
        <f t="shared" ref="L450:L513" si="23">(E450-D450)*H450</f>
        <v>5</v>
      </c>
    </row>
    <row r="451" spans="1:12" x14ac:dyDescent="0.25">
      <c r="A451" t="s">
        <v>33</v>
      </c>
      <c r="B451" t="s">
        <v>30</v>
      </c>
      <c r="C451" t="s">
        <v>76</v>
      </c>
      <c r="D451" s="2">
        <v>30</v>
      </c>
      <c r="E451" s="2">
        <v>35</v>
      </c>
      <c r="F451">
        <v>4</v>
      </c>
      <c r="G451">
        <v>0</v>
      </c>
      <c r="H451">
        <f t="shared" si="21"/>
        <v>4</v>
      </c>
      <c r="I451" s="33">
        <v>44935</v>
      </c>
      <c r="J451" t="s">
        <v>10</v>
      </c>
      <c r="K451" s="2">
        <f t="shared" si="22"/>
        <v>140</v>
      </c>
      <c r="L451" s="2">
        <f t="shared" si="23"/>
        <v>20</v>
      </c>
    </row>
    <row r="452" spans="1:12" x14ac:dyDescent="0.25">
      <c r="A452" t="s">
        <v>2</v>
      </c>
      <c r="B452" t="s">
        <v>3</v>
      </c>
      <c r="C452" t="s">
        <v>48</v>
      </c>
      <c r="D452" s="2">
        <v>100</v>
      </c>
      <c r="E452" s="2">
        <v>200</v>
      </c>
      <c r="F452">
        <v>3</v>
      </c>
      <c r="G452">
        <v>2</v>
      </c>
      <c r="H452">
        <f t="shared" si="21"/>
        <v>1</v>
      </c>
      <c r="I452" s="33">
        <v>44937</v>
      </c>
      <c r="J452" t="s">
        <v>42</v>
      </c>
      <c r="K452" s="2">
        <f t="shared" si="22"/>
        <v>200</v>
      </c>
      <c r="L452" s="2">
        <f t="shared" si="23"/>
        <v>100</v>
      </c>
    </row>
    <row r="453" spans="1:12" x14ac:dyDescent="0.25">
      <c r="A453" t="s">
        <v>7</v>
      </c>
      <c r="B453" t="s">
        <v>3</v>
      </c>
      <c r="C453" t="s">
        <v>77</v>
      </c>
      <c r="D453" s="2">
        <v>200</v>
      </c>
      <c r="E453" s="2">
        <v>300</v>
      </c>
      <c r="F453">
        <v>2</v>
      </c>
      <c r="G453">
        <v>1</v>
      </c>
      <c r="H453">
        <f t="shared" si="21"/>
        <v>1</v>
      </c>
      <c r="I453" s="33">
        <v>44937</v>
      </c>
      <c r="J453" t="s">
        <v>42</v>
      </c>
      <c r="K453" s="2">
        <f t="shared" si="22"/>
        <v>300</v>
      </c>
      <c r="L453" s="2">
        <f t="shared" si="23"/>
        <v>100</v>
      </c>
    </row>
    <row r="454" spans="1:12" x14ac:dyDescent="0.25">
      <c r="A454" t="s">
        <v>23</v>
      </c>
      <c r="B454" t="s">
        <v>3</v>
      </c>
      <c r="C454" t="s">
        <v>52</v>
      </c>
      <c r="D454" s="2">
        <v>150</v>
      </c>
      <c r="E454" s="2">
        <v>250</v>
      </c>
      <c r="F454">
        <v>3</v>
      </c>
      <c r="G454">
        <v>1</v>
      </c>
      <c r="H454">
        <f t="shared" si="21"/>
        <v>2</v>
      </c>
      <c r="I454" s="33">
        <v>44937</v>
      </c>
      <c r="J454" t="s">
        <v>42</v>
      </c>
      <c r="K454" s="2">
        <f t="shared" si="22"/>
        <v>500</v>
      </c>
      <c r="L454" s="2">
        <f t="shared" si="23"/>
        <v>200</v>
      </c>
    </row>
    <row r="455" spans="1:12" x14ac:dyDescent="0.25">
      <c r="A455" t="s">
        <v>9</v>
      </c>
      <c r="B455" t="s">
        <v>3</v>
      </c>
      <c r="C455" t="s">
        <v>53</v>
      </c>
      <c r="D455" s="2">
        <v>100</v>
      </c>
      <c r="E455" s="2">
        <v>200</v>
      </c>
      <c r="F455">
        <v>4</v>
      </c>
      <c r="G455">
        <v>1</v>
      </c>
      <c r="H455">
        <f t="shared" si="21"/>
        <v>3</v>
      </c>
      <c r="I455" s="33">
        <v>44937</v>
      </c>
      <c r="J455" t="s">
        <v>42</v>
      </c>
      <c r="K455" s="2">
        <f t="shared" si="22"/>
        <v>600</v>
      </c>
      <c r="L455" s="2">
        <f t="shared" si="23"/>
        <v>300</v>
      </c>
    </row>
    <row r="456" spans="1:12" x14ac:dyDescent="0.25">
      <c r="A456" t="s">
        <v>2</v>
      </c>
      <c r="B456" t="s">
        <v>12</v>
      </c>
      <c r="C456" t="s">
        <v>49</v>
      </c>
      <c r="D456" s="2">
        <v>250</v>
      </c>
      <c r="E456" s="2">
        <v>350</v>
      </c>
      <c r="F456">
        <v>2</v>
      </c>
      <c r="G456">
        <v>2</v>
      </c>
      <c r="H456">
        <f t="shared" si="21"/>
        <v>0</v>
      </c>
      <c r="I456" s="33">
        <v>44937</v>
      </c>
      <c r="J456" t="s">
        <v>42</v>
      </c>
      <c r="K456" s="2">
        <f t="shared" si="22"/>
        <v>0</v>
      </c>
      <c r="L456" s="2">
        <f t="shared" si="23"/>
        <v>0</v>
      </c>
    </row>
    <row r="457" spans="1:12" x14ac:dyDescent="0.25">
      <c r="A457" t="s">
        <v>7</v>
      </c>
      <c r="B457" t="s">
        <v>12</v>
      </c>
      <c r="C457" t="s">
        <v>54</v>
      </c>
      <c r="D457" s="2">
        <v>300</v>
      </c>
      <c r="E457" s="2">
        <v>400</v>
      </c>
      <c r="F457">
        <v>1</v>
      </c>
      <c r="G457">
        <v>1</v>
      </c>
      <c r="H457">
        <f t="shared" si="21"/>
        <v>0</v>
      </c>
      <c r="I457" s="33">
        <v>44937</v>
      </c>
      <c r="J457" t="s">
        <v>42</v>
      </c>
      <c r="K457" s="2">
        <f t="shared" si="22"/>
        <v>0</v>
      </c>
      <c r="L457" s="2">
        <f t="shared" si="23"/>
        <v>0</v>
      </c>
    </row>
    <row r="458" spans="1:12" x14ac:dyDescent="0.25">
      <c r="A458" t="s">
        <v>8</v>
      </c>
      <c r="B458" t="s">
        <v>12</v>
      </c>
      <c r="C458" t="s">
        <v>55</v>
      </c>
      <c r="D458" s="2">
        <v>250</v>
      </c>
      <c r="E458" s="2">
        <v>350</v>
      </c>
      <c r="F458">
        <v>2</v>
      </c>
      <c r="G458">
        <v>1</v>
      </c>
      <c r="H458">
        <f t="shared" si="21"/>
        <v>1</v>
      </c>
      <c r="I458" s="33">
        <v>44937</v>
      </c>
      <c r="J458" t="s">
        <v>42</v>
      </c>
      <c r="K458" s="2">
        <f t="shared" si="22"/>
        <v>350</v>
      </c>
      <c r="L458" s="2">
        <f t="shared" si="23"/>
        <v>100</v>
      </c>
    </row>
    <row r="459" spans="1:12" x14ac:dyDescent="0.25">
      <c r="A459" t="s">
        <v>9</v>
      </c>
      <c r="B459" t="s">
        <v>12</v>
      </c>
      <c r="C459" t="s">
        <v>56</v>
      </c>
      <c r="D459" s="2">
        <v>250</v>
      </c>
      <c r="E459" s="2">
        <v>350</v>
      </c>
      <c r="F459">
        <v>2</v>
      </c>
      <c r="G459">
        <v>1</v>
      </c>
      <c r="H459">
        <f t="shared" si="21"/>
        <v>1</v>
      </c>
      <c r="I459" s="33">
        <v>44937</v>
      </c>
      <c r="J459" t="s">
        <v>42</v>
      </c>
      <c r="K459" s="2">
        <f t="shared" si="22"/>
        <v>350</v>
      </c>
      <c r="L459" s="2">
        <f t="shared" si="23"/>
        <v>100</v>
      </c>
    </row>
    <row r="460" spans="1:12" x14ac:dyDescent="0.25">
      <c r="A460" t="s">
        <v>13</v>
      </c>
      <c r="B460" t="s">
        <v>12</v>
      </c>
      <c r="C460" t="s">
        <v>57</v>
      </c>
      <c r="D460" s="2">
        <v>300</v>
      </c>
      <c r="E460" s="2">
        <v>450</v>
      </c>
      <c r="F460">
        <v>1</v>
      </c>
      <c r="G460">
        <v>1</v>
      </c>
      <c r="H460">
        <f t="shared" si="21"/>
        <v>0</v>
      </c>
      <c r="I460" s="33">
        <v>44937</v>
      </c>
      <c r="J460" t="s">
        <v>42</v>
      </c>
      <c r="K460" s="2">
        <f t="shared" si="22"/>
        <v>0</v>
      </c>
      <c r="L460" s="2">
        <f t="shared" si="23"/>
        <v>0</v>
      </c>
    </row>
    <row r="461" spans="1:12" x14ac:dyDescent="0.25">
      <c r="A461" t="s">
        <v>14</v>
      </c>
      <c r="B461" t="s">
        <v>16</v>
      </c>
      <c r="C461" t="s">
        <v>50</v>
      </c>
      <c r="D461" s="2">
        <v>320</v>
      </c>
      <c r="E461" s="2">
        <v>400</v>
      </c>
      <c r="F461">
        <v>0</v>
      </c>
      <c r="G461">
        <v>0</v>
      </c>
      <c r="H461">
        <f t="shared" si="21"/>
        <v>0</v>
      </c>
      <c r="I461" s="33">
        <v>44937</v>
      </c>
      <c r="J461" t="s">
        <v>42</v>
      </c>
      <c r="K461" s="2">
        <f t="shared" si="22"/>
        <v>0</v>
      </c>
      <c r="L461" s="2">
        <f t="shared" si="23"/>
        <v>0</v>
      </c>
    </row>
    <row r="462" spans="1:12" x14ac:dyDescent="0.25">
      <c r="A462" t="s">
        <v>15</v>
      </c>
      <c r="B462" t="s">
        <v>16</v>
      </c>
      <c r="C462" t="s">
        <v>58</v>
      </c>
      <c r="D462" s="2">
        <v>100</v>
      </c>
      <c r="E462" s="2">
        <v>150</v>
      </c>
      <c r="F462">
        <v>3</v>
      </c>
      <c r="G462">
        <v>3</v>
      </c>
      <c r="H462">
        <f t="shared" si="21"/>
        <v>0</v>
      </c>
      <c r="I462" s="33">
        <v>44937</v>
      </c>
      <c r="J462" t="s">
        <v>42</v>
      </c>
      <c r="K462" s="2">
        <f t="shared" si="22"/>
        <v>0</v>
      </c>
      <c r="L462" s="2">
        <f t="shared" si="23"/>
        <v>0</v>
      </c>
    </row>
    <row r="463" spans="1:12" x14ac:dyDescent="0.25">
      <c r="A463" t="s">
        <v>2</v>
      </c>
      <c r="B463" t="s">
        <v>21</v>
      </c>
      <c r="C463" t="s">
        <v>51</v>
      </c>
      <c r="D463" s="2">
        <v>25</v>
      </c>
      <c r="E463" s="2">
        <v>40</v>
      </c>
      <c r="F463">
        <v>11</v>
      </c>
      <c r="G463">
        <v>3</v>
      </c>
      <c r="H463">
        <f t="shared" si="21"/>
        <v>8</v>
      </c>
      <c r="I463" s="33">
        <v>44937</v>
      </c>
      <c r="J463" t="s">
        <v>42</v>
      </c>
      <c r="K463" s="2">
        <f t="shared" si="22"/>
        <v>320</v>
      </c>
      <c r="L463" s="2">
        <f t="shared" si="23"/>
        <v>120</v>
      </c>
    </row>
    <row r="464" spans="1:12" x14ac:dyDescent="0.25">
      <c r="A464" t="s">
        <v>7</v>
      </c>
      <c r="B464" t="s">
        <v>21</v>
      </c>
      <c r="C464" t="s">
        <v>59</v>
      </c>
      <c r="D464" s="2">
        <v>30</v>
      </c>
      <c r="E464" s="2">
        <v>50</v>
      </c>
      <c r="F464">
        <v>12</v>
      </c>
      <c r="G464">
        <v>5</v>
      </c>
      <c r="H464">
        <f t="shared" si="21"/>
        <v>7</v>
      </c>
      <c r="I464" s="33">
        <v>44937</v>
      </c>
      <c r="J464" t="s">
        <v>42</v>
      </c>
      <c r="K464" s="2">
        <f t="shared" si="22"/>
        <v>350</v>
      </c>
      <c r="L464" s="2">
        <f t="shared" si="23"/>
        <v>140</v>
      </c>
    </row>
    <row r="465" spans="1:12" x14ac:dyDescent="0.25">
      <c r="A465" t="s">
        <v>9</v>
      </c>
      <c r="B465" t="s">
        <v>21</v>
      </c>
      <c r="C465" t="s">
        <v>60</v>
      </c>
      <c r="D465" s="2">
        <v>25</v>
      </c>
      <c r="E465" s="2">
        <v>40</v>
      </c>
      <c r="F465">
        <v>10</v>
      </c>
      <c r="G465">
        <v>10</v>
      </c>
      <c r="H465">
        <f t="shared" si="21"/>
        <v>0</v>
      </c>
      <c r="I465" s="33">
        <v>44937</v>
      </c>
      <c r="J465" t="s">
        <v>42</v>
      </c>
      <c r="K465" s="2">
        <f t="shared" si="22"/>
        <v>0</v>
      </c>
      <c r="L465" s="2">
        <f t="shared" si="23"/>
        <v>0</v>
      </c>
    </row>
    <row r="466" spans="1:12" x14ac:dyDescent="0.25">
      <c r="A466" t="s">
        <v>23</v>
      </c>
      <c r="B466" t="s">
        <v>21</v>
      </c>
      <c r="C466" t="s">
        <v>61</v>
      </c>
      <c r="D466" s="2">
        <v>25</v>
      </c>
      <c r="E466" s="2">
        <v>40</v>
      </c>
      <c r="F466">
        <v>11</v>
      </c>
      <c r="G466">
        <v>7</v>
      </c>
      <c r="H466">
        <f t="shared" si="21"/>
        <v>4</v>
      </c>
      <c r="I466" s="33">
        <v>44937</v>
      </c>
      <c r="J466" t="s">
        <v>42</v>
      </c>
      <c r="K466" s="2">
        <f t="shared" si="22"/>
        <v>160</v>
      </c>
      <c r="L466" s="2">
        <f t="shared" si="23"/>
        <v>60</v>
      </c>
    </row>
    <row r="467" spans="1:12" x14ac:dyDescent="0.25">
      <c r="A467" t="s">
        <v>13</v>
      </c>
      <c r="B467" t="s">
        <v>21</v>
      </c>
      <c r="C467" t="s">
        <v>62</v>
      </c>
      <c r="D467" s="2">
        <v>30</v>
      </c>
      <c r="E467" s="2">
        <v>55</v>
      </c>
      <c r="F467">
        <v>9</v>
      </c>
      <c r="G467">
        <v>9</v>
      </c>
      <c r="H467">
        <f t="shared" si="21"/>
        <v>0</v>
      </c>
      <c r="I467" s="33">
        <v>44937</v>
      </c>
      <c r="J467" t="s">
        <v>42</v>
      </c>
      <c r="K467" s="2">
        <f t="shared" si="22"/>
        <v>0</v>
      </c>
      <c r="L467" s="2">
        <f t="shared" si="23"/>
        <v>0</v>
      </c>
    </row>
    <row r="468" spans="1:12" x14ac:dyDescent="0.25">
      <c r="A468" t="s">
        <v>17</v>
      </c>
      <c r="B468" t="s">
        <v>21</v>
      </c>
      <c r="C468" t="s">
        <v>63</v>
      </c>
      <c r="D468" s="2">
        <v>40</v>
      </c>
      <c r="E468" s="2">
        <v>65</v>
      </c>
      <c r="F468">
        <v>14</v>
      </c>
      <c r="G468">
        <v>1</v>
      </c>
      <c r="H468">
        <f t="shared" si="21"/>
        <v>13</v>
      </c>
      <c r="I468" s="33">
        <v>44937</v>
      </c>
      <c r="J468" t="s">
        <v>42</v>
      </c>
      <c r="K468" s="2">
        <f t="shared" si="22"/>
        <v>845</v>
      </c>
      <c r="L468" s="2">
        <f t="shared" si="23"/>
        <v>325</v>
      </c>
    </row>
    <row r="469" spans="1:12" x14ac:dyDescent="0.25">
      <c r="A469" t="s">
        <v>34</v>
      </c>
      <c r="B469" t="s">
        <v>21</v>
      </c>
      <c r="C469" t="s">
        <v>64</v>
      </c>
      <c r="D469" s="2">
        <v>50</v>
      </c>
      <c r="E469" s="2">
        <v>70</v>
      </c>
      <c r="F469">
        <v>0</v>
      </c>
      <c r="G469">
        <v>0</v>
      </c>
      <c r="H469">
        <f t="shared" si="21"/>
        <v>0</v>
      </c>
      <c r="I469" s="33">
        <v>44937</v>
      </c>
      <c r="J469" t="s">
        <v>42</v>
      </c>
      <c r="K469" s="2">
        <f t="shared" si="22"/>
        <v>0</v>
      </c>
      <c r="L469" s="2">
        <f t="shared" si="23"/>
        <v>0</v>
      </c>
    </row>
    <row r="470" spans="1:12" x14ac:dyDescent="0.25">
      <c r="A470" t="s">
        <v>18</v>
      </c>
      <c r="B470" t="s">
        <v>21</v>
      </c>
      <c r="C470" t="s">
        <v>65</v>
      </c>
      <c r="D470" s="2">
        <v>20</v>
      </c>
      <c r="E470" s="2">
        <v>30</v>
      </c>
      <c r="F470">
        <v>28</v>
      </c>
      <c r="G470">
        <v>22</v>
      </c>
      <c r="H470">
        <f t="shared" si="21"/>
        <v>6</v>
      </c>
      <c r="I470" s="33">
        <v>44937</v>
      </c>
      <c r="J470" t="s">
        <v>42</v>
      </c>
      <c r="K470" s="2">
        <f t="shared" si="22"/>
        <v>180</v>
      </c>
      <c r="L470" s="2">
        <f t="shared" si="23"/>
        <v>60</v>
      </c>
    </row>
    <row r="471" spans="1:12" x14ac:dyDescent="0.25">
      <c r="A471" t="s">
        <v>19</v>
      </c>
      <c r="B471" t="s">
        <v>21</v>
      </c>
      <c r="C471" t="s">
        <v>66</v>
      </c>
      <c r="D471" s="2">
        <v>10</v>
      </c>
      <c r="E471" s="2">
        <v>20</v>
      </c>
      <c r="F471">
        <v>17</v>
      </c>
      <c r="G471">
        <v>17</v>
      </c>
      <c r="H471">
        <f t="shared" si="21"/>
        <v>0</v>
      </c>
      <c r="I471" s="33">
        <v>44937</v>
      </c>
      <c r="J471" t="s">
        <v>42</v>
      </c>
      <c r="K471" s="2">
        <f t="shared" si="22"/>
        <v>0</v>
      </c>
      <c r="L471" s="2">
        <f t="shared" si="23"/>
        <v>0</v>
      </c>
    </row>
    <row r="472" spans="1:12" x14ac:dyDescent="0.25">
      <c r="A472" t="s">
        <v>20</v>
      </c>
      <c r="B472" t="s">
        <v>21</v>
      </c>
      <c r="C472" t="s">
        <v>67</v>
      </c>
      <c r="D472" s="2">
        <v>60</v>
      </c>
      <c r="E472" s="2">
        <v>100</v>
      </c>
      <c r="F472">
        <v>6</v>
      </c>
      <c r="G472">
        <v>6</v>
      </c>
      <c r="H472">
        <f t="shared" si="21"/>
        <v>0</v>
      </c>
      <c r="I472" s="33">
        <v>44937</v>
      </c>
      <c r="J472" t="s">
        <v>42</v>
      </c>
      <c r="K472" s="2">
        <f t="shared" si="22"/>
        <v>0</v>
      </c>
      <c r="L472" s="2">
        <f t="shared" si="23"/>
        <v>0</v>
      </c>
    </row>
    <row r="473" spans="1:12" x14ac:dyDescent="0.25">
      <c r="A473" t="s">
        <v>22</v>
      </c>
      <c r="B473" t="s">
        <v>24</v>
      </c>
      <c r="C473" t="s">
        <v>68</v>
      </c>
      <c r="D473" s="2">
        <v>50</v>
      </c>
      <c r="E473" s="2">
        <v>70</v>
      </c>
      <c r="F473">
        <v>0</v>
      </c>
      <c r="G473">
        <v>0</v>
      </c>
      <c r="H473">
        <f t="shared" si="21"/>
        <v>0</v>
      </c>
      <c r="I473" s="33">
        <v>44937</v>
      </c>
      <c r="J473" t="s">
        <v>42</v>
      </c>
      <c r="K473" s="2">
        <f t="shared" si="22"/>
        <v>0</v>
      </c>
      <c r="L473" s="2">
        <f t="shared" si="23"/>
        <v>0</v>
      </c>
    </row>
    <row r="474" spans="1:12" x14ac:dyDescent="0.25">
      <c r="A474" t="s">
        <v>25</v>
      </c>
      <c r="B474" t="s">
        <v>24</v>
      </c>
      <c r="C474" t="s">
        <v>69</v>
      </c>
      <c r="D474" s="2">
        <v>45</v>
      </c>
      <c r="E474" s="2">
        <v>65</v>
      </c>
      <c r="F474">
        <v>1</v>
      </c>
      <c r="G474">
        <v>0</v>
      </c>
      <c r="H474">
        <f t="shared" si="21"/>
        <v>1</v>
      </c>
      <c r="I474" s="33">
        <v>44937</v>
      </c>
      <c r="J474" t="s">
        <v>42</v>
      </c>
      <c r="K474" s="2">
        <f t="shared" si="22"/>
        <v>65</v>
      </c>
      <c r="L474" s="2">
        <f t="shared" si="23"/>
        <v>20</v>
      </c>
    </row>
    <row r="475" spans="1:12" x14ac:dyDescent="0.25">
      <c r="A475" t="s">
        <v>26</v>
      </c>
      <c r="B475" t="s">
        <v>24</v>
      </c>
      <c r="C475" t="s">
        <v>70</v>
      </c>
      <c r="D475" s="2">
        <v>50</v>
      </c>
      <c r="E475" s="2">
        <v>70</v>
      </c>
      <c r="F475">
        <v>0</v>
      </c>
      <c r="G475">
        <v>0</v>
      </c>
      <c r="H475">
        <f t="shared" si="21"/>
        <v>0</v>
      </c>
      <c r="I475" s="33">
        <v>44937</v>
      </c>
      <c r="J475" t="s">
        <v>42</v>
      </c>
      <c r="K475" s="2">
        <f t="shared" si="22"/>
        <v>0</v>
      </c>
      <c r="L475" s="2">
        <f t="shared" si="23"/>
        <v>0</v>
      </c>
    </row>
    <row r="476" spans="1:12" x14ac:dyDescent="0.25">
      <c r="A476" t="s">
        <v>27</v>
      </c>
      <c r="B476" t="s">
        <v>24</v>
      </c>
      <c r="C476" t="s">
        <v>71</v>
      </c>
      <c r="D476" s="2">
        <v>10</v>
      </c>
      <c r="E476" s="2">
        <v>15</v>
      </c>
      <c r="F476">
        <v>7</v>
      </c>
      <c r="G476">
        <v>2</v>
      </c>
      <c r="H476">
        <f t="shared" si="21"/>
        <v>5</v>
      </c>
      <c r="I476" s="33">
        <v>44937</v>
      </c>
      <c r="J476" t="s">
        <v>42</v>
      </c>
      <c r="K476" s="2">
        <f t="shared" si="22"/>
        <v>75</v>
      </c>
      <c r="L476" s="2">
        <f t="shared" si="23"/>
        <v>25</v>
      </c>
    </row>
    <row r="477" spans="1:12" x14ac:dyDescent="0.25">
      <c r="A477" t="s">
        <v>28</v>
      </c>
      <c r="B477" t="s">
        <v>24</v>
      </c>
      <c r="C477" t="s">
        <v>72</v>
      </c>
      <c r="D477" s="2">
        <v>20</v>
      </c>
      <c r="E477" s="2">
        <v>25</v>
      </c>
      <c r="F477">
        <v>9</v>
      </c>
      <c r="G477">
        <v>3</v>
      </c>
      <c r="H477">
        <f t="shared" si="21"/>
        <v>6</v>
      </c>
      <c r="I477" s="33">
        <v>44937</v>
      </c>
      <c r="J477" t="s">
        <v>42</v>
      </c>
      <c r="K477" s="2">
        <f t="shared" si="22"/>
        <v>150</v>
      </c>
      <c r="L477" s="2">
        <f t="shared" si="23"/>
        <v>30</v>
      </c>
    </row>
    <row r="478" spans="1:12" x14ac:dyDescent="0.25">
      <c r="A478" t="s">
        <v>29</v>
      </c>
      <c r="B478" t="s">
        <v>30</v>
      </c>
      <c r="C478" t="s">
        <v>73</v>
      </c>
      <c r="D478" s="2">
        <v>25</v>
      </c>
      <c r="E478" s="2">
        <v>30</v>
      </c>
      <c r="F478">
        <v>10</v>
      </c>
      <c r="G478">
        <v>6</v>
      </c>
      <c r="H478">
        <f t="shared" si="21"/>
        <v>4</v>
      </c>
      <c r="I478" s="33">
        <v>44937</v>
      </c>
      <c r="J478" t="s">
        <v>42</v>
      </c>
      <c r="K478" s="2">
        <f t="shared" si="22"/>
        <v>120</v>
      </c>
      <c r="L478" s="2">
        <f t="shared" si="23"/>
        <v>20</v>
      </c>
    </row>
    <row r="479" spans="1:12" x14ac:dyDescent="0.25">
      <c r="A479" t="s">
        <v>31</v>
      </c>
      <c r="B479" t="s">
        <v>30</v>
      </c>
      <c r="C479" t="s">
        <v>74</v>
      </c>
      <c r="D479" s="2">
        <v>25</v>
      </c>
      <c r="E479" s="2">
        <v>30</v>
      </c>
      <c r="F479">
        <v>8</v>
      </c>
      <c r="G479">
        <v>7</v>
      </c>
      <c r="H479">
        <f t="shared" si="21"/>
        <v>1</v>
      </c>
      <c r="I479" s="33">
        <v>44937</v>
      </c>
      <c r="J479" t="s">
        <v>42</v>
      </c>
      <c r="K479" s="2">
        <f t="shared" si="22"/>
        <v>30</v>
      </c>
      <c r="L479" s="2">
        <f t="shared" si="23"/>
        <v>5</v>
      </c>
    </row>
    <row r="480" spans="1:12" x14ac:dyDescent="0.25">
      <c r="A480" t="s">
        <v>32</v>
      </c>
      <c r="B480" t="s">
        <v>30</v>
      </c>
      <c r="C480" t="s">
        <v>75</v>
      </c>
      <c r="D480" s="2">
        <v>25</v>
      </c>
      <c r="E480" s="2">
        <v>30</v>
      </c>
      <c r="F480">
        <v>7</v>
      </c>
      <c r="G480">
        <v>5</v>
      </c>
      <c r="H480">
        <f t="shared" si="21"/>
        <v>2</v>
      </c>
      <c r="I480" s="33">
        <v>44937</v>
      </c>
      <c r="J480" t="s">
        <v>42</v>
      </c>
      <c r="K480" s="2">
        <f t="shared" si="22"/>
        <v>60</v>
      </c>
      <c r="L480" s="2">
        <f t="shared" si="23"/>
        <v>10</v>
      </c>
    </row>
    <row r="481" spans="1:12" x14ac:dyDescent="0.25">
      <c r="A481" t="s">
        <v>33</v>
      </c>
      <c r="B481" t="s">
        <v>30</v>
      </c>
      <c r="C481" t="s">
        <v>76</v>
      </c>
      <c r="D481" s="2">
        <v>30</v>
      </c>
      <c r="E481" s="2">
        <v>35</v>
      </c>
      <c r="F481">
        <v>10</v>
      </c>
      <c r="G481">
        <v>8</v>
      </c>
      <c r="H481">
        <f t="shared" si="21"/>
        <v>2</v>
      </c>
      <c r="I481" s="33">
        <v>44937</v>
      </c>
      <c r="J481" t="s">
        <v>42</v>
      </c>
      <c r="K481" s="2">
        <f t="shared" si="22"/>
        <v>70</v>
      </c>
      <c r="L481" s="2">
        <f t="shared" si="23"/>
        <v>10</v>
      </c>
    </row>
    <row r="482" spans="1:12" x14ac:dyDescent="0.25">
      <c r="A482" t="s">
        <v>2</v>
      </c>
      <c r="B482" t="s">
        <v>3</v>
      </c>
      <c r="C482" t="s">
        <v>48</v>
      </c>
      <c r="D482" s="2">
        <v>100</v>
      </c>
      <c r="E482" s="2">
        <v>200</v>
      </c>
      <c r="F482">
        <v>2</v>
      </c>
      <c r="G482">
        <v>1</v>
      </c>
      <c r="H482">
        <f t="shared" si="21"/>
        <v>1</v>
      </c>
      <c r="I482" s="33">
        <v>44938</v>
      </c>
      <c r="J482" t="s">
        <v>36</v>
      </c>
      <c r="K482" s="2">
        <f t="shared" si="22"/>
        <v>200</v>
      </c>
      <c r="L482" s="2">
        <f t="shared" si="23"/>
        <v>100</v>
      </c>
    </row>
    <row r="483" spans="1:12" x14ac:dyDescent="0.25">
      <c r="A483" t="s">
        <v>7</v>
      </c>
      <c r="B483" t="s">
        <v>3</v>
      </c>
      <c r="C483" t="s">
        <v>77</v>
      </c>
      <c r="D483" s="2">
        <v>200</v>
      </c>
      <c r="E483" s="2">
        <v>300</v>
      </c>
      <c r="F483">
        <v>1</v>
      </c>
      <c r="G483">
        <v>1</v>
      </c>
      <c r="H483">
        <f t="shared" si="21"/>
        <v>0</v>
      </c>
      <c r="I483" s="33">
        <v>44938</v>
      </c>
      <c r="J483" t="s">
        <v>36</v>
      </c>
      <c r="K483" s="2">
        <f t="shared" si="22"/>
        <v>0</v>
      </c>
      <c r="L483" s="2">
        <f t="shared" si="23"/>
        <v>0</v>
      </c>
    </row>
    <row r="484" spans="1:12" x14ac:dyDescent="0.25">
      <c r="A484" t="s">
        <v>23</v>
      </c>
      <c r="B484" t="s">
        <v>3</v>
      </c>
      <c r="C484" t="s">
        <v>52</v>
      </c>
      <c r="D484" s="2">
        <v>150</v>
      </c>
      <c r="E484" s="2">
        <v>250</v>
      </c>
      <c r="F484">
        <v>2</v>
      </c>
      <c r="G484">
        <v>2</v>
      </c>
      <c r="H484">
        <f t="shared" si="21"/>
        <v>0</v>
      </c>
      <c r="I484" s="33">
        <v>44938</v>
      </c>
      <c r="J484" t="s">
        <v>36</v>
      </c>
      <c r="K484" s="2">
        <f t="shared" si="22"/>
        <v>0</v>
      </c>
      <c r="L484" s="2">
        <f t="shared" si="23"/>
        <v>0</v>
      </c>
    </row>
    <row r="485" spans="1:12" x14ac:dyDescent="0.25">
      <c r="A485" t="s">
        <v>9</v>
      </c>
      <c r="B485" t="s">
        <v>3</v>
      </c>
      <c r="C485" t="s">
        <v>53</v>
      </c>
      <c r="D485" s="2">
        <v>100</v>
      </c>
      <c r="E485" s="2">
        <v>200</v>
      </c>
      <c r="F485">
        <v>1</v>
      </c>
      <c r="G485">
        <v>0</v>
      </c>
      <c r="H485">
        <f t="shared" si="21"/>
        <v>1</v>
      </c>
      <c r="I485" s="33">
        <v>44938</v>
      </c>
      <c r="J485" t="s">
        <v>36</v>
      </c>
      <c r="K485" s="2">
        <f t="shared" si="22"/>
        <v>200</v>
      </c>
      <c r="L485" s="2">
        <f t="shared" si="23"/>
        <v>100</v>
      </c>
    </row>
    <row r="486" spans="1:12" x14ac:dyDescent="0.25">
      <c r="A486" t="s">
        <v>2</v>
      </c>
      <c r="B486" t="s">
        <v>12</v>
      </c>
      <c r="C486" t="s">
        <v>49</v>
      </c>
      <c r="D486" s="2">
        <v>250</v>
      </c>
      <c r="E486" s="2">
        <v>350</v>
      </c>
      <c r="F486">
        <v>2</v>
      </c>
      <c r="G486">
        <v>1</v>
      </c>
      <c r="H486">
        <f t="shared" si="21"/>
        <v>1</v>
      </c>
      <c r="I486" s="33">
        <v>44938</v>
      </c>
      <c r="J486" t="s">
        <v>36</v>
      </c>
      <c r="K486" s="2">
        <f t="shared" si="22"/>
        <v>350</v>
      </c>
      <c r="L486" s="2">
        <f t="shared" si="23"/>
        <v>100</v>
      </c>
    </row>
    <row r="487" spans="1:12" x14ac:dyDescent="0.25">
      <c r="A487" t="s">
        <v>7</v>
      </c>
      <c r="B487" t="s">
        <v>12</v>
      </c>
      <c r="C487" t="s">
        <v>54</v>
      </c>
      <c r="D487" s="2">
        <v>300</v>
      </c>
      <c r="E487" s="2">
        <v>400</v>
      </c>
      <c r="F487">
        <v>1</v>
      </c>
      <c r="G487">
        <v>1</v>
      </c>
      <c r="H487">
        <f t="shared" si="21"/>
        <v>0</v>
      </c>
      <c r="I487" s="33">
        <v>44938</v>
      </c>
      <c r="J487" t="s">
        <v>36</v>
      </c>
      <c r="K487" s="2">
        <f t="shared" si="22"/>
        <v>0</v>
      </c>
      <c r="L487" s="2">
        <f t="shared" si="23"/>
        <v>0</v>
      </c>
    </row>
    <row r="488" spans="1:12" x14ac:dyDescent="0.25">
      <c r="A488" t="s">
        <v>8</v>
      </c>
      <c r="B488" t="s">
        <v>12</v>
      </c>
      <c r="C488" t="s">
        <v>55</v>
      </c>
      <c r="D488" s="2">
        <v>250</v>
      </c>
      <c r="E488" s="2">
        <v>350</v>
      </c>
      <c r="F488">
        <v>1</v>
      </c>
      <c r="G488">
        <v>0</v>
      </c>
      <c r="H488">
        <f t="shared" si="21"/>
        <v>1</v>
      </c>
      <c r="I488" s="33">
        <v>44938</v>
      </c>
      <c r="J488" t="s">
        <v>36</v>
      </c>
      <c r="K488" s="2">
        <f t="shared" si="22"/>
        <v>350</v>
      </c>
      <c r="L488" s="2">
        <f t="shared" si="23"/>
        <v>100</v>
      </c>
    </row>
    <row r="489" spans="1:12" x14ac:dyDescent="0.25">
      <c r="A489" t="s">
        <v>9</v>
      </c>
      <c r="B489" t="s">
        <v>12</v>
      </c>
      <c r="C489" t="s">
        <v>56</v>
      </c>
      <c r="D489" s="2">
        <v>250</v>
      </c>
      <c r="E489" s="2">
        <v>350</v>
      </c>
      <c r="F489">
        <v>1</v>
      </c>
      <c r="G489">
        <v>0</v>
      </c>
      <c r="H489">
        <f t="shared" si="21"/>
        <v>1</v>
      </c>
      <c r="I489" s="33">
        <v>44938</v>
      </c>
      <c r="J489" t="s">
        <v>36</v>
      </c>
      <c r="K489" s="2">
        <f t="shared" si="22"/>
        <v>350</v>
      </c>
      <c r="L489" s="2">
        <f t="shared" si="23"/>
        <v>100</v>
      </c>
    </row>
    <row r="490" spans="1:12" x14ac:dyDescent="0.25">
      <c r="A490" t="s">
        <v>13</v>
      </c>
      <c r="B490" t="s">
        <v>12</v>
      </c>
      <c r="C490" t="s">
        <v>57</v>
      </c>
      <c r="D490" s="2">
        <v>300</v>
      </c>
      <c r="E490" s="2">
        <v>450</v>
      </c>
      <c r="F490">
        <v>1</v>
      </c>
      <c r="G490">
        <v>1</v>
      </c>
      <c r="H490">
        <f t="shared" si="21"/>
        <v>0</v>
      </c>
      <c r="I490" s="33">
        <v>44938</v>
      </c>
      <c r="J490" t="s">
        <v>36</v>
      </c>
      <c r="K490" s="2">
        <f t="shared" si="22"/>
        <v>0</v>
      </c>
      <c r="L490" s="2">
        <f t="shared" si="23"/>
        <v>0</v>
      </c>
    </row>
    <row r="491" spans="1:12" x14ac:dyDescent="0.25">
      <c r="A491" t="s">
        <v>14</v>
      </c>
      <c r="B491" t="s">
        <v>16</v>
      </c>
      <c r="C491" t="s">
        <v>50</v>
      </c>
      <c r="D491" s="2">
        <v>320</v>
      </c>
      <c r="E491" s="2">
        <v>400</v>
      </c>
      <c r="F491">
        <v>0</v>
      </c>
      <c r="G491">
        <v>0</v>
      </c>
      <c r="H491">
        <f t="shared" si="21"/>
        <v>0</v>
      </c>
      <c r="I491" s="33">
        <v>44938</v>
      </c>
      <c r="J491" t="s">
        <v>36</v>
      </c>
      <c r="K491" s="2">
        <f t="shared" si="22"/>
        <v>0</v>
      </c>
      <c r="L491" s="2">
        <f t="shared" si="23"/>
        <v>0</v>
      </c>
    </row>
    <row r="492" spans="1:12" x14ac:dyDescent="0.25">
      <c r="A492" t="s">
        <v>15</v>
      </c>
      <c r="B492" t="s">
        <v>16</v>
      </c>
      <c r="C492" t="s">
        <v>58</v>
      </c>
      <c r="D492" s="2">
        <v>100</v>
      </c>
      <c r="E492" s="2">
        <v>150</v>
      </c>
      <c r="F492">
        <v>3</v>
      </c>
      <c r="G492">
        <v>3</v>
      </c>
      <c r="H492">
        <f t="shared" si="21"/>
        <v>0</v>
      </c>
      <c r="I492" s="33">
        <v>44938</v>
      </c>
      <c r="J492" t="s">
        <v>36</v>
      </c>
      <c r="K492" s="2">
        <f t="shared" si="22"/>
        <v>0</v>
      </c>
      <c r="L492" s="2">
        <f t="shared" si="23"/>
        <v>0</v>
      </c>
    </row>
    <row r="493" spans="1:12" x14ac:dyDescent="0.25">
      <c r="A493" t="s">
        <v>2</v>
      </c>
      <c r="B493" t="s">
        <v>21</v>
      </c>
      <c r="C493" t="s">
        <v>51</v>
      </c>
      <c r="D493" s="2">
        <v>25</v>
      </c>
      <c r="E493" s="2">
        <v>40</v>
      </c>
      <c r="F493">
        <v>3</v>
      </c>
      <c r="G493">
        <v>3</v>
      </c>
      <c r="H493">
        <f t="shared" si="21"/>
        <v>0</v>
      </c>
      <c r="I493" s="33">
        <v>44938</v>
      </c>
      <c r="J493" t="s">
        <v>36</v>
      </c>
      <c r="K493" s="2">
        <f t="shared" si="22"/>
        <v>0</v>
      </c>
      <c r="L493" s="2">
        <f t="shared" si="23"/>
        <v>0</v>
      </c>
    </row>
    <row r="494" spans="1:12" x14ac:dyDescent="0.25">
      <c r="A494" t="s">
        <v>7</v>
      </c>
      <c r="B494" t="s">
        <v>21</v>
      </c>
      <c r="C494" t="s">
        <v>59</v>
      </c>
      <c r="D494" s="2">
        <v>30</v>
      </c>
      <c r="E494" s="2">
        <v>50</v>
      </c>
      <c r="F494">
        <v>5</v>
      </c>
      <c r="G494">
        <v>4</v>
      </c>
      <c r="H494">
        <f t="shared" si="21"/>
        <v>1</v>
      </c>
      <c r="I494" s="33">
        <v>44938</v>
      </c>
      <c r="J494" t="s">
        <v>36</v>
      </c>
      <c r="K494" s="2">
        <f t="shared" si="22"/>
        <v>50</v>
      </c>
      <c r="L494" s="2">
        <f t="shared" si="23"/>
        <v>20</v>
      </c>
    </row>
    <row r="495" spans="1:12" x14ac:dyDescent="0.25">
      <c r="A495" t="s">
        <v>9</v>
      </c>
      <c r="B495" t="s">
        <v>21</v>
      </c>
      <c r="C495" t="s">
        <v>60</v>
      </c>
      <c r="D495" s="2">
        <v>25</v>
      </c>
      <c r="E495" s="2">
        <v>40</v>
      </c>
      <c r="F495">
        <v>10</v>
      </c>
      <c r="G495">
        <v>10</v>
      </c>
      <c r="H495">
        <f t="shared" si="21"/>
        <v>0</v>
      </c>
      <c r="I495" s="33">
        <v>44938</v>
      </c>
      <c r="J495" t="s">
        <v>36</v>
      </c>
      <c r="K495" s="2">
        <f t="shared" si="22"/>
        <v>0</v>
      </c>
      <c r="L495" s="2">
        <f t="shared" si="23"/>
        <v>0</v>
      </c>
    </row>
    <row r="496" spans="1:12" x14ac:dyDescent="0.25">
      <c r="A496" t="s">
        <v>23</v>
      </c>
      <c r="B496" t="s">
        <v>21</v>
      </c>
      <c r="C496" t="s">
        <v>61</v>
      </c>
      <c r="D496" s="2">
        <v>25</v>
      </c>
      <c r="E496" s="2">
        <v>40</v>
      </c>
      <c r="F496">
        <v>7</v>
      </c>
      <c r="G496">
        <v>7</v>
      </c>
      <c r="H496">
        <f t="shared" si="21"/>
        <v>0</v>
      </c>
      <c r="I496" s="33">
        <v>44938</v>
      </c>
      <c r="J496" t="s">
        <v>36</v>
      </c>
      <c r="K496" s="2">
        <f t="shared" si="22"/>
        <v>0</v>
      </c>
      <c r="L496" s="2">
        <f t="shared" si="23"/>
        <v>0</v>
      </c>
    </row>
    <row r="497" spans="1:12" x14ac:dyDescent="0.25">
      <c r="A497" t="s">
        <v>13</v>
      </c>
      <c r="B497" t="s">
        <v>21</v>
      </c>
      <c r="C497" t="s">
        <v>62</v>
      </c>
      <c r="D497" s="2">
        <v>30</v>
      </c>
      <c r="E497" s="2">
        <v>55</v>
      </c>
      <c r="F497">
        <v>9</v>
      </c>
      <c r="G497">
        <v>8</v>
      </c>
      <c r="H497">
        <f t="shared" si="21"/>
        <v>1</v>
      </c>
      <c r="I497" s="33">
        <v>44938</v>
      </c>
      <c r="J497" t="s">
        <v>36</v>
      </c>
      <c r="K497" s="2">
        <f t="shared" si="22"/>
        <v>55</v>
      </c>
      <c r="L497" s="2">
        <f t="shared" si="23"/>
        <v>25</v>
      </c>
    </row>
    <row r="498" spans="1:12" x14ac:dyDescent="0.25">
      <c r="A498" t="s">
        <v>17</v>
      </c>
      <c r="B498" t="s">
        <v>21</v>
      </c>
      <c r="C498" t="s">
        <v>63</v>
      </c>
      <c r="D498" s="2">
        <v>40</v>
      </c>
      <c r="E498" s="2">
        <v>65</v>
      </c>
      <c r="F498">
        <v>11</v>
      </c>
      <c r="G498">
        <v>8</v>
      </c>
      <c r="H498">
        <f t="shared" si="21"/>
        <v>3</v>
      </c>
      <c r="I498" s="33">
        <v>44938</v>
      </c>
      <c r="J498" t="s">
        <v>36</v>
      </c>
      <c r="K498" s="2">
        <f t="shared" si="22"/>
        <v>195</v>
      </c>
      <c r="L498" s="2">
        <f t="shared" si="23"/>
        <v>75</v>
      </c>
    </row>
    <row r="499" spans="1:12" x14ac:dyDescent="0.25">
      <c r="A499" t="s">
        <v>34</v>
      </c>
      <c r="B499" t="s">
        <v>21</v>
      </c>
      <c r="C499" t="s">
        <v>64</v>
      </c>
      <c r="D499" s="2">
        <v>50</v>
      </c>
      <c r="E499" s="2">
        <v>70</v>
      </c>
      <c r="F499">
        <v>0</v>
      </c>
      <c r="G499">
        <v>0</v>
      </c>
      <c r="H499">
        <f t="shared" si="21"/>
        <v>0</v>
      </c>
      <c r="I499" s="33">
        <v>44938</v>
      </c>
      <c r="J499" t="s">
        <v>36</v>
      </c>
      <c r="K499" s="2">
        <f t="shared" si="22"/>
        <v>0</v>
      </c>
      <c r="L499" s="2">
        <f t="shared" si="23"/>
        <v>0</v>
      </c>
    </row>
    <row r="500" spans="1:12" x14ac:dyDescent="0.25">
      <c r="A500" t="s">
        <v>18</v>
      </c>
      <c r="B500" t="s">
        <v>21</v>
      </c>
      <c r="C500" t="s">
        <v>65</v>
      </c>
      <c r="D500" s="2">
        <v>20</v>
      </c>
      <c r="E500" s="2">
        <v>30</v>
      </c>
      <c r="F500">
        <v>22</v>
      </c>
      <c r="G500">
        <v>22</v>
      </c>
      <c r="H500">
        <f t="shared" si="21"/>
        <v>0</v>
      </c>
      <c r="I500" s="33">
        <v>44938</v>
      </c>
      <c r="J500" t="s">
        <v>36</v>
      </c>
      <c r="K500" s="2">
        <f t="shared" si="22"/>
        <v>0</v>
      </c>
      <c r="L500" s="2">
        <f t="shared" si="23"/>
        <v>0</v>
      </c>
    </row>
    <row r="501" spans="1:12" x14ac:dyDescent="0.25">
      <c r="A501" t="s">
        <v>19</v>
      </c>
      <c r="B501" t="s">
        <v>21</v>
      </c>
      <c r="C501" t="s">
        <v>66</v>
      </c>
      <c r="D501" s="2">
        <v>10</v>
      </c>
      <c r="E501" s="2">
        <v>20</v>
      </c>
      <c r="F501">
        <v>17</v>
      </c>
      <c r="G501">
        <v>17</v>
      </c>
      <c r="H501">
        <f t="shared" si="21"/>
        <v>0</v>
      </c>
      <c r="I501" s="33">
        <v>44938</v>
      </c>
      <c r="J501" t="s">
        <v>36</v>
      </c>
      <c r="K501" s="2">
        <f t="shared" si="22"/>
        <v>0</v>
      </c>
      <c r="L501" s="2">
        <f t="shared" si="23"/>
        <v>0</v>
      </c>
    </row>
    <row r="502" spans="1:12" x14ac:dyDescent="0.25">
      <c r="A502" t="s">
        <v>20</v>
      </c>
      <c r="B502" t="s">
        <v>21</v>
      </c>
      <c r="C502" t="s">
        <v>67</v>
      </c>
      <c r="D502" s="2">
        <v>60</v>
      </c>
      <c r="E502" s="2">
        <v>100</v>
      </c>
      <c r="F502">
        <v>6</v>
      </c>
      <c r="G502">
        <v>6</v>
      </c>
      <c r="H502">
        <f t="shared" si="21"/>
        <v>0</v>
      </c>
      <c r="I502" s="33">
        <v>44938</v>
      </c>
      <c r="J502" t="s">
        <v>36</v>
      </c>
      <c r="K502" s="2">
        <f t="shared" si="22"/>
        <v>0</v>
      </c>
      <c r="L502" s="2">
        <f t="shared" si="23"/>
        <v>0</v>
      </c>
    </row>
    <row r="503" spans="1:12" x14ac:dyDescent="0.25">
      <c r="A503" t="s">
        <v>22</v>
      </c>
      <c r="B503" t="s">
        <v>24</v>
      </c>
      <c r="C503" t="s">
        <v>68</v>
      </c>
      <c r="D503" s="2">
        <v>50</v>
      </c>
      <c r="E503" s="2">
        <v>70</v>
      </c>
      <c r="F503">
        <v>0</v>
      </c>
      <c r="G503">
        <v>0</v>
      </c>
      <c r="H503">
        <f t="shared" si="21"/>
        <v>0</v>
      </c>
      <c r="I503" s="33">
        <v>44938</v>
      </c>
      <c r="J503" t="s">
        <v>36</v>
      </c>
      <c r="K503" s="2">
        <f t="shared" si="22"/>
        <v>0</v>
      </c>
      <c r="L503" s="2">
        <f t="shared" si="23"/>
        <v>0</v>
      </c>
    </row>
    <row r="504" spans="1:12" x14ac:dyDescent="0.25">
      <c r="A504" t="s">
        <v>25</v>
      </c>
      <c r="B504" t="s">
        <v>24</v>
      </c>
      <c r="C504" t="s">
        <v>69</v>
      </c>
      <c r="D504" s="2">
        <v>45</v>
      </c>
      <c r="E504" s="2">
        <v>65</v>
      </c>
      <c r="F504">
        <v>0</v>
      </c>
      <c r="G504">
        <v>0</v>
      </c>
      <c r="H504">
        <f t="shared" si="21"/>
        <v>0</v>
      </c>
      <c r="I504" s="33">
        <v>44938</v>
      </c>
      <c r="J504" t="s">
        <v>36</v>
      </c>
      <c r="K504" s="2">
        <f t="shared" si="22"/>
        <v>0</v>
      </c>
      <c r="L504" s="2">
        <f t="shared" si="23"/>
        <v>0</v>
      </c>
    </row>
    <row r="505" spans="1:12" x14ac:dyDescent="0.25">
      <c r="A505" t="s">
        <v>26</v>
      </c>
      <c r="B505" t="s">
        <v>24</v>
      </c>
      <c r="C505" t="s">
        <v>70</v>
      </c>
      <c r="D505" s="2">
        <v>50</v>
      </c>
      <c r="E505" s="2">
        <v>70</v>
      </c>
      <c r="F505">
        <v>0</v>
      </c>
      <c r="G505">
        <v>0</v>
      </c>
      <c r="H505">
        <f t="shared" si="21"/>
        <v>0</v>
      </c>
      <c r="I505" s="33">
        <v>44938</v>
      </c>
      <c r="J505" t="s">
        <v>36</v>
      </c>
      <c r="K505" s="2">
        <f t="shared" si="22"/>
        <v>0</v>
      </c>
      <c r="L505" s="2">
        <f t="shared" si="23"/>
        <v>0</v>
      </c>
    </row>
    <row r="506" spans="1:12" x14ac:dyDescent="0.25">
      <c r="A506" t="s">
        <v>27</v>
      </c>
      <c r="B506" t="s">
        <v>24</v>
      </c>
      <c r="C506" t="s">
        <v>71</v>
      </c>
      <c r="D506" s="2">
        <v>10</v>
      </c>
      <c r="E506" s="2">
        <v>15</v>
      </c>
      <c r="F506">
        <v>2</v>
      </c>
      <c r="G506">
        <v>0</v>
      </c>
      <c r="H506">
        <f t="shared" si="21"/>
        <v>2</v>
      </c>
      <c r="I506" s="33">
        <v>44938</v>
      </c>
      <c r="J506" t="s">
        <v>36</v>
      </c>
      <c r="K506" s="2">
        <f t="shared" si="22"/>
        <v>30</v>
      </c>
      <c r="L506" s="2">
        <f t="shared" si="23"/>
        <v>10</v>
      </c>
    </row>
    <row r="507" spans="1:12" x14ac:dyDescent="0.25">
      <c r="A507" t="s">
        <v>28</v>
      </c>
      <c r="B507" t="s">
        <v>24</v>
      </c>
      <c r="C507" t="s">
        <v>72</v>
      </c>
      <c r="D507" s="2">
        <v>20</v>
      </c>
      <c r="E507" s="2">
        <v>25</v>
      </c>
      <c r="F507">
        <v>3</v>
      </c>
      <c r="G507">
        <v>0</v>
      </c>
      <c r="H507">
        <f t="shared" si="21"/>
        <v>3</v>
      </c>
      <c r="I507" s="33">
        <v>44938</v>
      </c>
      <c r="J507" t="s">
        <v>36</v>
      </c>
      <c r="K507" s="2">
        <f t="shared" si="22"/>
        <v>75</v>
      </c>
      <c r="L507" s="2">
        <f t="shared" si="23"/>
        <v>15</v>
      </c>
    </row>
    <row r="508" spans="1:12" x14ac:dyDescent="0.25">
      <c r="A508" t="s">
        <v>29</v>
      </c>
      <c r="B508" t="s">
        <v>30</v>
      </c>
      <c r="C508" t="s">
        <v>73</v>
      </c>
      <c r="D508" s="2">
        <v>25</v>
      </c>
      <c r="E508" s="2">
        <v>30</v>
      </c>
      <c r="F508">
        <v>16</v>
      </c>
      <c r="G508">
        <v>10</v>
      </c>
      <c r="H508">
        <f t="shared" si="21"/>
        <v>6</v>
      </c>
      <c r="I508" s="33">
        <v>44938</v>
      </c>
      <c r="J508" t="s">
        <v>36</v>
      </c>
      <c r="K508" s="2">
        <f t="shared" si="22"/>
        <v>180</v>
      </c>
      <c r="L508" s="2">
        <f t="shared" si="23"/>
        <v>30</v>
      </c>
    </row>
    <row r="509" spans="1:12" x14ac:dyDescent="0.25">
      <c r="A509" t="s">
        <v>31</v>
      </c>
      <c r="B509" t="s">
        <v>30</v>
      </c>
      <c r="C509" t="s">
        <v>74</v>
      </c>
      <c r="D509" s="2">
        <v>25</v>
      </c>
      <c r="E509" s="2">
        <v>30</v>
      </c>
      <c r="F509">
        <v>7</v>
      </c>
      <c r="G509">
        <v>7</v>
      </c>
      <c r="H509">
        <f t="shared" si="21"/>
        <v>0</v>
      </c>
      <c r="I509" s="33">
        <v>44938</v>
      </c>
      <c r="J509" t="s">
        <v>36</v>
      </c>
      <c r="K509" s="2">
        <f t="shared" si="22"/>
        <v>0</v>
      </c>
      <c r="L509" s="2">
        <f t="shared" si="23"/>
        <v>0</v>
      </c>
    </row>
    <row r="510" spans="1:12" x14ac:dyDescent="0.25">
      <c r="A510" t="s">
        <v>32</v>
      </c>
      <c r="B510" t="s">
        <v>30</v>
      </c>
      <c r="C510" t="s">
        <v>75</v>
      </c>
      <c r="D510" s="2">
        <v>25</v>
      </c>
      <c r="E510" s="2">
        <v>30</v>
      </c>
      <c r="F510">
        <v>5</v>
      </c>
      <c r="G510">
        <v>5</v>
      </c>
      <c r="H510">
        <f t="shared" si="21"/>
        <v>0</v>
      </c>
      <c r="I510" s="33">
        <v>44938</v>
      </c>
      <c r="J510" t="s">
        <v>36</v>
      </c>
      <c r="K510" s="2">
        <f t="shared" si="22"/>
        <v>0</v>
      </c>
      <c r="L510" s="2">
        <f t="shared" si="23"/>
        <v>0</v>
      </c>
    </row>
    <row r="511" spans="1:12" x14ac:dyDescent="0.25">
      <c r="A511" t="s">
        <v>33</v>
      </c>
      <c r="B511" t="s">
        <v>30</v>
      </c>
      <c r="C511" t="s">
        <v>76</v>
      </c>
      <c r="D511" s="2">
        <v>30</v>
      </c>
      <c r="E511" s="2">
        <v>35</v>
      </c>
      <c r="F511">
        <v>13</v>
      </c>
      <c r="G511">
        <v>2</v>
      </c>
      <c r="H511">
        <f t="shared" si="21"/>
        <v>11</v>
      </c>
      <c r="I511" s="33">
        <v>44938</v>
      </c>
      <c r="J511" t="s">
        <v>36</v>
      </c>
      <c r="K511" s="2">
        <f t="shared" si="22"/>
        <v>385</v>
      </c>
      <c r="L511" s="2">
        <f t="shared" si="23"/>
        <v>55</v>
      </c>
    </row>
    <row r="512" spans="1:12" x14ac:dyDescent="0.25">
      <c r="A512" t="s">
        <v>2</v>
      </c>
      <c r="B512" t="s">
        <v>3</v>
      </c>
      <c r="C512" t="s">
        <v>48</v>
      </c>
      <c r="D512" s="2">
        <v>100</v>
      </c>
      <c r="E512" s="2">
        <v>200</v>
      </c>
      <c r="F512">
        <v>3</v>
      </c>
      <c r="G512">
        <v>1</v>
      </c>
      <c r="H512">
        <f t="shared" si="21"/>
        <v>2</v>
      </c>
      <c r="I512" s="33">
        <v>44939</v>
      </c>
      <c r="J512" t="s">
        <v>37</v>
      </c>
      <c r="K512" s="2">
        <f t="shared" si="22"/>
        <v>400</v>
      </c>
      <c r="L512" s="2">
        <f t="shared" si="23"/>
        <v>200</v>
      </c>
    </row>
    <row r="513" spans="1:12" x14ac:dyDescent="0.25">
      <c r="A513" t="s">
        <v>7</v>
      </c>
      <c r="B513" t="s">
        <v>3</v>
      </c>
      <c r="C513" t="s">
        <v>77</v>
      </c>
      <c r="D513" s="2">
        <v>200</v>
      </c>
      <c r="E513" s="2">
        <v>300</v>
      </c>
      <c r="F513">
        <v>3</v>
      </c>
      <c r="G513">
        <v>3</v>
      </c>
      <c r="H513">
        <f t="shared" si="21"/>
        <v>0</v>
      </c>
      <c r="I513" s="33">
        <v>44939</v>
      </c>
      <c r="J513" t="s">
        <v>37</v>
      </c>
      <c r="K513" s="2">
        <f t="shared" si="22"/>
        <v>0</v>
      </c>
      <c r="L513" s="2">
        <f t="shared" si="23"/>
        <v>0</v>
      </c>
    </row>
    <row r="514" spans="1:12" x14ac:dyDescent="0.25">
      <c r="A514" t="s">
        <v>23</v>
      </c>
      <c r="B514" t="s">
        <v>3</v>
      </c>
      <c r="C514" t="s">
        <v>52</v>
      </c>
      <c r="D514" s="2">
        <v>150</v>
      </c>
      <c r="E514" s="2">
        <v>250</v>
      </c>
      <c r="F514">
        <v>4</v>
      </c>
      <c r="G514">
        <v>1</v>
      </c>
      <c r="H514">
        <f t="shared" ref="H514:H577" si="24">F514-G514</f>
        <v>3</v>
      </c>
      <c r="I514" s="33">
        <v>44939</v>
      </c>
      <c r="J514" t="s">
        <v>37</v>
      </c>
      <c r="K514" s="2">
        <f t="shared" ref="K514:K577" si="25">E514*H514</f>
        <v>750</v>
      </c>
      <c r="L514" s="2">
        <f t="shared" ref="L514:L577" si="26">(E514-D514)*H514</f>
        <v>300</v>
      </c>
    </row>
    <row r="515" spans="1:12" x14ac:dyDescent="0.25">
      <c r="A515" t="s">
        <v>9</v>
      </c>
      <c r="B515" t="s">
        <v>3</v>
      </c>
      <c r="C515" t="s">
        <v>53</v>
      </c>
      <c r="D515" s="2">
        <v>100</v>
      </c>
      <c r="E515" s="2">
        <v>200</v>
      </c>
      <c r="F515">
        <v>2</v>
      </c>
      <c r="G515">
        <v>1</v>
      </c>
      <c r="H515">
        <f t="shared" si="24"/>
        <v>1</v>
      </c>
      <c r="I515" s="33">
        <v>44939</v>
      </c>
      <c r="J515" t="s">
        <v>37</v>
      </c>
      <c r="K515" s="2">
        <f t="shared" si="25"/>
        <v>200</v>
      </c>
      <c r="L515" s="2">
        <f t="shared" si="26"/>
        <v>100</v>
      </c>
    </row>
    <row r="516" spans="1:12" x14ac:dyDescent="0.25">
      <c r="A516" t="s">
        <v>2</v>
      </c>
      <c r="B516" t="s">
        <v>12</v>
      </c>
      <c r="C516" t="s">
        <v>49</v>
      </c>
      <c r="D516" s="2">
        <v>250</v>
      </c>
      <c r="E516" s="2">
        <v>350</v>
      </c>
      <c r="F516">
        <v>2</v>
      </c>
      <c r="G516">
        <v>2</v>
      </c>
      <c r="H516">
        <f t="shared" si="24"/>
        <v>0</v>
      </c>
      <c r="I516" s="33">
        <v>44939</v>
      </c>
      <c r="J516" t="s">
        <v>37</v>
      </c>
      <c r="K516" s="2">
        <f t="shared" si="25"/>
        <v>0</v>
      </c>
      <c r="L516" s="2">
        <f t="shared" si="26"/>
        <v>0</v>
      </c>
    </row>
    <row r="517" spans="1:12" x14ac:dyDescent="0.25">
      <c r="A517" t="s">
        <v>7</v>
      </c>
      <c r="B517" t="s">
        <v>12</v>
      </c>
      <c r="C517" t="s">
        <v>54</v>
      </c>
      <c r="D517" s="2">
        <v>300</v>
      </c>
      <c r="E517" s="2">
        <v>400</v>
      </c>
      <c r="F517">
        <v>2</v>
      </c>
      <c r="G517">
        <v>2</v>
      </c>
      <c r="H517">
        <f t="shared" si="24"/>
        <v>0</v>
      </c>
      <c r="I517" s="33">
        <v>44939</v>
      </c>
      <c r="J517" t="s">
        <v>37</v>
      </c>
      <c r="K517" s="2">
        <f t="shared" si="25"/>
        <v>0</v>
      </c>
      <c r="L517" s="2">
        <f t="shared" si="26"/>
        <v>0</v>
      </c>
    </row>
    <row r="518" spans="1:12" x14ac:dyDescent="0.25">
      <c r="A518" t="s">
        <v>8</v>
      </c>
      <c r="B518" t="s">
        <v>12</v>
      </c>
      <c r="C518" t="s">
        <v>55</v>
      </c>
      <c r="D518" s="2">
        <v>250</v>
      </c>
      <c r="E518" s="2">
        <v>350</v>
      </c>
      <c r="F518">
        <v>2</v>
      </c>
      <c r="G518">
        <v>1</v>
      </c>
      <c r="H518">
        <f t="shared" si="24"/>
        <v>1</v>
      </c>
      <c r="I518" s="33">
        <v>44939</v>
      </c>
      <c r="J518" t="s">
        <v>37</v>
      </c>
      <c r="K518" s="2">
        <f t="shared" si="25"/>
        <v>350</v>
      </c>
      <c r="L518" s="2">
        <f t="shared" si="26"/>
        <v>100</v>
      </c>
    </row>
    <row r="519" spans="1:12" x14ac:dyDescent="0.25">
      <c r="A519" t="s">
        <v>9</v>
      </c>
      <c r="B519" t="s">
        <v>12</v>
      </c>
      <c r="C519" t="s">
        <v>56</v>
      </c>
      <c r="D519" s="2">
        <v>250</v>
      </c>
      <c r="E519" s="2">
        <v>350</v>
      </c>
      <c r="F519">
        <v>0</v>
      </c>
      <c r="G519">
        <v>0</v>
      </c>
      <c r="H519">
        <f t="shared" si="24"/>
        <v>0</v>
      </c>
      <c r="I519" s="33">
        <v>44939</v>
      </c>
      <c r="J519" t="s">
        <v>37</v>
      </c>
      <c r="K519" s="2">
        <f t="shared" si="25"/>
        <v>0</v>
      </c>
      <c r="L519" s="2">
        <f t="shared" si="26"/>
        <v>0</v>
      </c>
    </row>
    <row r="520" spans="1:12" x14ac:dyDescent="0.25">
      <c r="A520" t="s">
        <v>13</v>
      </c>
      <c r="B520" t="s">
        <v>12</v>
      </c>
      <c r="C520" t="s">
        <v>57</v>
      </c>
      <c r="D520" s="2">
        <v>300</v>
      </c>
      <c r="E520" s="2">
        <v>450</v>
      </c>
      <c r="F520">
        <v>1</v>
      </c>
      <c r="G520">
        <v>1</v>
      </c>
      <c r="H520">
        <f t="shared" si="24"/>
        <v>0</v>
      </c>
      <c r="I520" s="33">
        <v>44939</v>
      </c>
      <c r="J520" t="s">
        <v>37</v>
      </c>
      <c r="K520" s="2">
        <f t="shared" si="25"/>
        <v>0</v>
      </c>
      <c r="L520" s="2">
        <f t="shared" si="26"/>
        <v>0</v>
      </c>
    </row>
    <row r="521" spans="1:12" x14ac:dyDescent="0.25">
      <c r="A521" t="s">
        <v>14</v>
      </c>
      <c r="B521" t="s">
        <v>16</v>
      </c>
      <c r="C521" t="s">
        <v>50</v>
      </c>
      <c r="D521" s="2">
        <v>320</v>
      </c>
      <c r="E521" s="2">
        <v>400</v>
      </c>
      <c r="F521">
        <v>0</v>
      </c>
      <c r="G521">
        <v>0</v>
      </c>
      <c r="H521">
        <f t="shared" si="24"/>
        <v>0</v>
      </c>
      <c r="I521" s="33">
        <v>44939</v>
      </c>
      <c r="J521" t="s">
        <v>37</v>
      </c>
      <c r="K521" s="2">
        <f t="shared" si="25"/>
        <v>0</v>
      </c>
      <c r="L521" s="2">
        <f t="shared" si="26"/>
        <v>0</v>
      </c>
    </row>
    <row r="522" spans="1:12" x14ac:dyDescent="0.25">
      <c r="A522" t="s">
        <v>15</v>
      </c>
      <c r="B522" t="s">
        <v>16</v>
      </c>
      <c r="C522" t="s">
        <v>58</v>
      </c>
      <c r="D522" s="2">
        <v>100</v>
      </c>
      <c r="E522" s="2">
        <v>150</v>
      </c>
      <c r="F522">
        <v>3</v>
      </c>
      <c r="G522">
        <v>3</v>
      </c>
      <c r="H522">
        <f t="shared" si="24"/>
        <v>0</v>
      </c>
      <c r="I522" s="33">
        <v>44939</v>
      </c>
      <c r="J522" t="s">
        <v>37</v>
      </c>
      <c r="K522" s="2">
        <f t="shared" si="25"/>
        <v>0</v>
      </c>
      <c r="L522" s="2">
        <f t="shared" si="26"/>
        <v>0</v>
      </c>
    </row>
    <row r="523" spans="1:12" x14ac:dyDescent="0.25">
      <c r="A523" t="s">
        <v>2</v>
      </c>
      <c r="B523" t="s">
        <v>21</v>
      </c>
      <c r="C523" t="s">
        <v>51</v>
      </c>
      <c r="D523" s="2">
        <v>25</v>
      </c>
      <c r="E523" s="2">
        <v>40</v>
      </c>
      <c r="F523">
        <v>16</v>
      </c>
      <c r="G523">
        <v>15</v>
      </c>
      <c r="H523">
        <f t="shared" si="24"/>
        <v>1</v>
      </c>
      <c r="I523" s="33">
        <v>44939</v>
      </c>
      <c r="J523" t="s">
        <v>37</v>
      </c>
      <c r="K523" s="2">
        <f t="shared" si="25"/>
        <v>40</v>
      </c>
      <c r="L523" s="2">
        <f t="shared" si="26"/>
        <v>15</v>
      </c>
    </row>
    <row r="524" spans="1:12" x14ac:dyDescent="0.25">
      <c r="A524" t="s">
        <v>7</v>
      </c>
      <c r="B524" t="s">
        <v>21</v>
      </c>
      <c r="C524" t="s">
        <v>59</v>
      </c>
      <c r="D524" s="2">
        <v>30</v>
      </c>
      <c r="E524" s="2">
        <v>50</v>
      </c>
      <c r="F524">
        <v>13</v>
      </c>
      <c r="G524">
        <v>13</v>
      </c>
      <c r="H524">
        <f t="shared" si="24"/>
        <v>0</v>
      </c>
      <c r="I524" s="33">
        <v>44939</v>
      </c>
      <c r="J524" t="s">
        <v>37</v>
      </c>
      <c r="K524" s="2">
        <f t="shared" si="25"/>
        <v>0</v>
      </c>
      <c r="L524" s="2">
        <f t="shared" si="26"/>
        <v>0</v>
      </c>
    </row>
    <row r="525" spans="1:12" x14ac:dyDescent="0.25">
      <c r="A525" t="s">
        <v>9</v>
      </c>
      <c r="B525" t="s">
        <v>21</v>
      </c>
      <c r="C525" t="s">
        <v>60</v>
      </c>
      <c r="D525" s="2">
        <v>25</v>
      </c>
      <c r="E525" s="2">
        <v>40</v>
      </c>
      <c r="F525">
        <v>18</v>
      </c>
      <c r="G525">
        <v>15</v>
      </c>
      <c r="H525">
        <f t="shared" si="24"/>
        <v>3</v>
      </c>
      <c r="I525" s="33">
        <v>44939</v>
      </c>
      <c r="J525" t="s">
        <v>37</v>
      </c>
      <c r="K525" s="2">
        <f t="shared" si="25"/>
        <v>120</v>
      </c>
      <c r="L525" s="2">
        <f t="shared" si="26"/>
        <v>45</v>
      </c>
    </row>
    <row r="526" spans="1:12" x14ac:dyDescent="0.25">
      <c r="A526" t="s">
        <v>23</v>
      </c>
      <c r="B526" t="s">
        <v>21</v>
      </c>
      <c r="C526" t="s">
        <v>61</v>
      </c>
      <c r="D526" s="2">
        <v>25</v>
      </c>
      <c r="E526" s="2">
        <v>40</v>
      </c>
      <c r="F526">
        <v>15</v>
      </c>
      <c r="G526">
        <v>9</v>
      </c>
      <c r="H526">
        <f t="shared" si="24"/>
        <v>6</v>
      </c>
      <c r="I526" s="33">
        <v>44939</v>
      </c>
      <c r="J526" t="s">
        <v>37</v>
      </c>
      <c r="K526" s="2">
        <f t="shared" si="25"/>
        <v>240</v>
      </c>
      <c r="L526" s="2">
        <f t="shared" si="26"/>
        <v>90</v>
      </c>
    </row>
    <row r="527" spans="1:12" x14ac:dyDescent="0.25">
      <c r="A527" t="s">
        <v>13</v>
      </c>
      <c r="B527" t="s">
        <v>21</v>
      </c>
      <c r="C527" t="s">
        <v>62</v>
      </c>
      <c r="D527" s="2">
        <v>30</v>
      </c>
      <c r="E527" s="2">
        <v>55</v>
      </c>
      <c r="F527">
        <v>16</v>
      </c>
      <c r="G527">
        <v>12</v>
      </c>
      <c r="H527">
        <f t="shared" si="24"/>
        <v>4</v>
      </c>
      <c r="I527" s="33">
        <v>44939</v>
      </c>
      <c r="J527" t="s">
        <v>37</v>
      </c>
      <c r="K527" s="2">
        <f t="shared" si="25"/>
        <v>220</v>
      </c>
      <c r="L527" s="2">
        <f t="shared" si="26"/>
        <v>100</v>
      </c>
    </row>
    <row r="528" spans="1:12" x14ac:dyDescent="0.25">
      <c r="A528" t="s">
        <v>17</v>
      </c>
      <c r="B528" t="s">
        <v>21</v>
      </c>
      <c r="C528" t="s">
        <v>63</v>
      </c>
      <c r="D528" s="2">
        <v>40</v>
      </c>
      <c r="E528" s="2">
        <v>65</v>
      </c>
      <c r="F528">
        <v>16</v>
      </c>
      <c r="G528">
        <v>9</v>
      </c>
      <c r="H528">
        <f t="shared" si="24"/>
        <v>7</v>
      </c>
      <c r="I528" s="33">
        <v>44939</v>
      </c>
      <c r="J528" t="s">
        <v>37</v>
      </c>
      <c r="K528" s="2">
        <f t="shared" si="25"/>
        <v>455</v>
      </c>
      <c r="L528" s="2">
        <f t="shared" si="26"/>
        <v>175</v>
      </c>
    </row>
    <row r="529" spans="1:12" x14ac:dyDescent="0.25">
      <c r="A529" t="s">
        <v>34</v>
      </c>
      <c r="B529" t="s">
        <v>21</v>
      </c>
      <c r="C529" t="s">
        <v>64</v>
      </c>
      <c r="D529" s="2">
        <v>50</v>
      </c>
      <c r="E529" s="2">
        <v>70</v>
      </c>
      <c r="F529">
        <v>0</v>
      </c>
      <c r="G529">
        <v>0</v>
      </c>
      <c r="H529">
        <f t="shared" si="24"/>
        <v>0</v>
      </c>
      <c r="I529" s="33">
        <v>44939</v>
      </c>
      <c r="J529" t="s">
        <v>37</v>
      </c>
      <c r="K529" s="2">
        <f t="shared" si="25"/>
        <v>0</v>
      </c>
      <c r="L529" s="2">
        <f t="shared" si="26"/>
        <v>0</v>
      </c>
    </row>
    <row r="530" spans="1:12" x14ac:dyDescent="0.25">
      <c r="A530" t="s">
        <v>18</v>
      </c>
      <c r="B530" t="s">
        <v>21</v>
      </c>
      <c r="C530" t="s">
        <v>65</v>
      </c>
      <c r="D530" s="2">
        <v>20</v>
      </c>
      <c r="E530" s="2">
        <v>30</v>
      </c>
      <c r="F530">
        <v>22</v>
      </c>
      <c r="G530">
        <v>17</v>
      </c>
      <c r="H530">
        <f t="shared" si="24"/>
        <v>5</v>
      </c>
      <c r="I530" s="33">
        <v>44939</v>
      </c>
      <c r="J530" t="s">
        <v>37</v>
      </c>
      <c r="K530" s="2">
        <f t="shared" si="25"/>
        <v>150</v>
      </c>
      <c r="L530" s="2">
        <f t="shared" si="26"/>
        <v>50</v>
      </c>
    </row>
    <row r="531" spans="1:12" x14ac:dyDescent="0.25">
      <c r="A531" t="s">
        <v>19</v>
      </c>
      <c r="B531" t="s">
        <v>21</v>
      </c>
      <c r="C531" t="s">
        <v>66</v>
      </c>
      <c r="D531" s="2">
        <v>10</v>
      </c>
      <c r="E531" s="2">
        <v>20</v>
      </c>
      <c r="F531">
        <v>17</v>
      </c>
      <c r="G531">
        <v>17</v>
      </c>
      <c r="H531">
        <f t="shared" si="24"/>
        <v>0</v>
      </c>
      <c r="I531" s="33">
        <v>44939</v>
      </c>
      <c r="J531" t="s">
        <v>37</v>
      </c>
      <c r="K531" s="2">
        <f t="shared" si="25"/>
        <v>0</v>
      </c>
      <c r="L531" s="2">
        <f t="shared" si="26"/>
        <v>0</v>
      </c>
    </row>
    <row r="532" spans="1:12" x14ac:dyDescent="0.25">
      <c r="A532" t="s">
        <v>20</v>
      </c>
      <c r="B532" t="s">
        <v>21</v>
      </c>
      <c r="C532" t="s">
        <v>67</v>
      </c>
      <c r="D532" s="2">
        <v>60</v>
      </c>
      <c r="E532" s="2">
        <v>100</v>
      </c>
      <c r="F532">
        <v>6</v>
      </c>
      <c r="G532">
        <v>4</v>
      </c>
      <c r="H532">
        <f t="shared" si="24"/>
        <v>2</v>
      </c>
      <c r="I532" s="33">
        <v>44939</v>
      </c>
      <c r="J532" t="s">
        <v>37</v>
      </c>
      <c r="K532" s="2">
        <f t="shared" si="25"/>
        <v>200</v>
      </c>
      <c r="L532" s="2">
        <f t="shared" si="26"/>
        <v>80</v>
      </c>
    </row>
    <row r="533" spans="1:12" x14ac:dyDescent="0.25">
      <c r="A533" t="s">
        <v>22</v>
      </c>
      <c r="B533" t="s">
        <v>24</v>
      </c>
      <c r="C533" t="s">
        <v>68</v>
      </c>
      <c r="D533" s="2">
        <v>50</v>
      </c>
      <c r="E533" s="2">
        <v>70</v>
      </c>
      <c r="F533">
        <v>4</v>
      </c>
      <c r="G533">
        <v>2</v>
      </c>
      <c r="H533">
        <f t="shared" si="24"/>
        <v>2</v>
      </c>
      <c r="I533" s="33">
        <v>44939</v>
      </c>
      <c r="J533" t="s">
        <v>37</v>
      </c>
      <c r="K533" s="2">
        <f t="shared" si="25"/>
        <v>140</v>
      </c>
      <c r="L533" s="2">
        <f t="shared" si="26"/>
        <v>40</v>
      </c>
    </row>
    <row r="534" spans="1:12" x14ac:dyDescent="0.25">
      <c r="A534" t="s">
        <v>25</v>
      </c>
      <c r="B534" t="s">
        <v>24</v>
      </c>
      <c r="C534" t="s">
        <v>69</v>
      </c>
      <c r="D534" s="2">
        <v>45</v>
      </c>
      <c r="E534" s="2">
        <v>65</v>
      </c>
      <c r="F534">
        <v>0</v>
      </c>
      <c r="G534">
        <v>0</v>
      </c>
      <c r="H534">
        <f t="shared" si="24"/>
        <v>0</v>
      </c>
      <c r="I534" s="33">
        <v>44939</v>
      </c>
      <c r="J534" t="s">
        <v>37</v>
      </c>
      <c r="K534" s="2">
        <f t="shared" si="25"/>
        <v>0</v>
      </c>
      <c r="L534" s="2">
        <f t="shared" si="26"/>
        <v>0</v>
      </c>
    </row>
    <row r="535" spans="1:12" x14ac:dyDescent="0.25">
      <c r="A535" t="s">
        <v>26</v>
      </c>
      <c r="B535" t="s">
        <v>24</v>
      </c>
      <c r="C535" t="s">
        <v>70</v>
      </c>
      <c r="D535" s="2">
        <v>50</v>
      </c>
      <c r="E535" s="2">
        <v>70</v>
      </c>
      <c r="F535">
        <v>0</v>
      </c>
      <c r="G535">
        <v>0</v>
      </c>
      <c r="H535">
        <f t="shared" si="24"/>
        <v>0</v>
      </c>
      <c r="I535" s="33">
        <v>44939</v>
      </c>
      <c r="J535" t="s">
        <v>37</v>
      </c>
      <c r="K535" s="2">
        <f t="shared" si="25"/>
        <v>0</v>
      </c>
      <c r="L535" s="2">
        <f t="shared" si="26"/>
        <v>0</v>
      </c>
    </row>
    <row r="536" spans="1:12" x14ac:dyDescent="0.25">
      <c r="A536" t="s">
        <v>27</v>
      </c>
      <c r="B536" t="s">
        <v>24</v>
      </c>
      <c r="C536" t="s">
        <v>71</v>
      </c>
      <c r="D536" s="2">
        <v>10</v>
      </c>
      <c r="E536" s="2">
        <v>15</v>
      </c>
      <c r="F536">
        <v>5</v>
      </c>
      <c r="G536">
        <v>5</v>
      </c>
      <c r="H536">
        <f t="shared" si="24"/>
        <v>0</v>
      </c>
      <c r="I536" s="33">
        <v>44939</v>
      </c>
      <c r="J536" t="s">
        <v>37</v>
      </c>
      <c r="K536" s="2">
        <f t="shared" si="25"/>
        <v>0</v>
      </c>
      <c r="L536" s="2">
        <f t="shared" si="26"/>
        <v>0</v>
      </c>
    </row>
    <row r="537" spans="1:12" x14ac:dyDescent="0.25">
      <c r="A537" t="s">
        <v>28</v>
      </c>
      <c r="B537" t="s">
        <v>24</v>
      </c>
      <c r="C537" t="s">
        <v>72</v>
      </c>
      <c r="D537" s="2">
        <v>20</v>
      </c>
      <c r="E537" s="2">
        <v>25</v>
      </c>
      <c r="F537">
        <v>5</v>
      </c>
      <c r="G537">
        <v>4</v>
      </c>
      <c r="H537">
        <f t="shared" si="24"/>
        <v>1</v>
      </c>
      <c r="I537" s="33">
        <v>44939</v>
      </c>
      <c r="J537" t="s">
        <v>37</v>
      </c>
      <c r="K537" s="2">
        <f t="shared" si="25"/>
        <v>25</v>
      </c>
      <c r="L537" s="2">
        <f t="shared" si="26"/>
        <v>5</v>
      </c>
    </row>
    <row r="538" spans="1:12" x14ac:dyDescent="0.25">
      <c r="A538" t="s">
        <v>29</v>
      </c>
      <c r="B538" t="s">
        <v>30</v>
      </c>
      <c r="C538" t="s">
        <v>73</v>
      </c>
      <c r="D538" s="2">
        <v>25</v>
      </c>
      <c r="E538" s="2">
        <v>30</v>
      </c>
      <c r="F538">
        <v>10</v>
      </c>
      <c r="G538">
        <v>7</v>
      </c>
      <c r="H538">
        <f t="shared" si="24"/>
        <v>3</v>
      </c>
      <c r="I538" s="33">
        <v>44939</v>
      </c>
      <c r="J538" t="s">
        <v>37</v>
      </c>
      <c r="K538" s="2">
        <f t="shared" si="25"/>
        <v>90</v>
      </c>
      <c r="L538" s="2">
        <f t="shared" si="26"/>
        <v>15</v>
      </c>
    </row>
    <row r="539" spans="1:12" x14ac:dyDescent="0.25">
      <c r="A539" t="s">
        <v>31</v>
      </c>
      <c r="B539" t="s">
        <v>30</v>
      </c>
      <c r="C539" t="s">
        <v>74</v>
      </c>
      <c r="D539" s="2">
        <v>25</v>
      </c>
      <c r="E539" s="2">
        <v>30</v>
      </c>
      <c r="F539">
        <v>7</v>
      </c>
      <c r="G539">
        <v>7</v>
      </c>
      <c r="H539">
        <f t="shared" si="24"/>
        <v>0</v>
      </c>
      <c r="I539" s="33">
        <v>44939</v>
      </c>
      <c r="J539" t="s">
        <v>37</v>
      </c>
      <c r="K539" s="2">
        <f t="shared" si="25"/>
        <v>0</v>
      </c>
      <c r="L539" s="2">
        <f t="shared" si="26"/>
        <v>0</v>
      </c>
    </row>
    <row r="540" spans="1:12" x14ac:dyDescent="0.25">
      <c r="A540" t="s">
        <v>32</v>
      </c>
      <c r="B540" t="s">
        <v>30</v>
      </c>
      <c r="C540" t="s">
        <v>75</v>
      </c>
      <c r="D540" s="2">
        <v>25</v>
      </c>
      <c r="E540" s="2">
        <v>30</v>
      </c>
      <c r="F540">
        <v>10</v>
      </c>
      <c r="G540">
        <v>9</v>
      </c>
      <c r="H540">
        <f t="shared" si="24"/>
        <v>1</v>
      </c>
      <c r="I540" s="33">
        <v>44939</v>
      </c>
      <c r="J540" t="s">
        <v>37</v>
      </c>
      <c r="K540" s="2">
        <f t="shared" si="25"/>
        <v>30</v>
      </c>
      <c r="L540" s="2">
        <f t="shared" si="26"/>
        <v>5</v>
      </c>
    </row>
    <row r="541" spans="1:12" x14ac:dyDescent="0.25">
      <c r="A541" t="s">
        <v>33</v>
      </c>
      <c r="B541" t="s">
        <v>30</v>
      </c>
      <c r="C541" t="s">
        <v>76</v>
      </c>
      <c r="D541" s="2">
        <v>30</v>
      </c>
      <c r="E541" s="2">
        <v>35</v>
      </c>
      <c r="F541">
        <v>7</v>
      </c>
      <c r="G541">
        <v>5</v>
      </c>
      <c r="H541">
        <f t="shared" si="24"/>
        <v>2</v>
      </c>
      <c r="I541" s="33">
        <v>44939</v>
      </c>
      <c r="J541" t="s">
        <v>37</v>
      </c>
      <c r="K541" s="2">
        <f t="shared" si="25"/>
        <v>70</v>
      </c>
      <c r="L541" s="2">
        <f t="shared" si="26"/>
        <v>10</v>
      </c>
    </row>
    <row r="542" spans="1:12" x14ac:dyDescent="0.25">
      <c r="A542" t="s">
        <v>2</v>
      </c>
      <c r="B542" t="s">
        <v>3</v>
      </c>
      <c r="C542" t="s">
        <v>48</v>
      </c>
      <c r="D542" s="2">
        <v>100</v>
      </c>
      <c r="E542" s="2">
        <v>200</v>
      </c>
      <c r="F542">
        <v>4</v>
      </c>
      <c r="G542">
        <v>4</v>
      </c>
      <c r="H542">
        <f t="shared" si="24"/>
        <v>0</v>
      </c>
      <c r="I542" s="33">
        <v>44940</v>
      </c>
      <c r="J542" t="s">
        <v>38</v>
      </c>
      <c r="K542" s="2">
        <f t="shared" si="25"/>
        <v>0</v>
      </c>
      <c r="L542" s="2">
        <f t="shared" si="26"/>
        <v>0</v>
      </c>
    </row>
    <row r="543" spans="1:12" x14ac:dyDescent="0.25">
      <c r="A543" t="s">
        <v>7</v>
      </c>
      <c r="B543" t="s">
        <v>3</v>
      </c>
      <c r="C543" t="s">
        <v>77</v>
      </c>
      <c r="D543" s="2">
        <v>200</v>
      </c>
      <c r="E543" s="2">
        <v>300</v>
      </c>
      <c r="F543">
        <v>5</v>
      </c>
      <c r="G543">
        <v>0</v>
      </c>
      <c r="H543">
        <f t="shared" si="24"/>
        <v>5</v>
      </c>
      <c r="I543" s="33">
        <v>44940</v>
      </c>
      <c r="J543" t="s">
        <v>38</v>
      </c>
      <c r="K543" s="2">
        <f t="shared" si="25"/>
        <v>1500</v>
      </c>
      <c r="L543" s="2">
        <f t="shared" si="26"/>
        <v>500</v>
      </c>
    </row>
    <row r="544" spans="1:12" x14ac:dyDescent="0.25">
      <c r="A544" t="s">
        <v>23</v>
      </c>
      <c r="B544" t="s">
        <v>3</v>
      </c>
      <c r="C544" t="s">
        <v>52</v>
      </c>
      <c r="D544" s="2">
        <v>150</v>
      </c>
      <c r="E544" s="2">
        <v>250</v>
      </c>
      <c r="F544">
        <v>3</v>
      </c>
      <c r="G544">
        <v>3</v>
      </c>
      <c r="H544">
        <f t="shared" si="24"/>
        <v>0</v>
      </c>
      <c r="I544" s="33">
        <v>44940</v>
      </c>
      <c r="J544" t="s">
        <v>38</v>
      </c>
      <c r="K544" s="2">
        <f t="shared" si="25"/>
        <v>0</v>
      </c>
      <c r="L544" s="2">
        <f t="shared" si="26"/>
        <v>0</v>
      </c>
    </row>
    <row r="545" spans="1:12" x14ac:dyDescent="0.25">
      <c r="A545" t="s">
        <v>9</v>
      </c>
      <c r="B545" t="s">
        <v>3</v>
      </c>
      <c r="C545" t="s">
        <v>53</v>
      </c>
      <c r="D545" s="2">
        <v>100</v>
      </c>
      <c r="E545" s="2">
        <v>200</v>
      </c>
      <c r="F545">
        <v>3</v>
      </c>
      <c r="G545">
        <v>2</v>
      </c>
      <c r="H545">
        <f t="shared" si="24"/>
        <v>1</v>
      </c>
      <c r="I545" s="33">
        <v>44940</v>
      </c>
      <c r="J545" t="s">
        <v>38</v>
      </c>
      <c r="K545" s="2">
        <f t="shared" si="25"/>
        <v>200</v>
      </c>
      <c r="L545" s="2">
        <f t="shared" si="26"/>
        <v>100</v>
      </c>
    </row>
    <row r="546" spans="1:12" x14ac:dyDescent="0.25">
      <c r="A546" t="s">
        <v>2</v>
      </c>
      <c r="B546" t="s">
        <v>12</v>
      </c>
      <c r="C546" t="s">
        <v>49</v>
      </c>
      <c r="D546" s="2">
        <v>250</v>
      </c>
      <c r="E546" s="2">
        <v>350</v>
      </c>
      <c r="F546">
        <v>4</v>
      </c>
      <c r="G546">
        <v>2</v>
      </c>
      <c r="H546">
        <f t="shared" si="24"/>
        <v>2</v>
      </c>
      <c r="I546" s="33">
        <v>44940</v>
      </c>
      <c r="J546" t="s">
        <v>38</v>
      </c>
      <c r="K546" s="2">
        <f t="shared" si="25"/>
        <v>700</v>
      </c>
      <c r="L546" s="2">
        <f t="shared" si="26"/>
        <v>200</v>
      </c>
    </row>
    <row r="547" spans="1:12" x14ac:dyDescent="0.25">
      <c r="A547" t="s">
        <v>7</v>
      </c>
      <c r="B547" t="s">
        <v>12</v>
      </c>
      <c r="C547" t="s">
        <v>54</v>
      </c>
      <c r="D547" s="2">
        <v>300</v>
      </c>
      <c r="E547" s="2">
        <v>400</v>
      </c>
      <c r="F547">
        <v>4</v>
      </c>
      <c r="G547">
        <v>1</v>
      </c>
      <c r="H547">
        <f t="shared" si="24"/>
        <v>3</v>
      </c>
      <c r="I547" s="33">
        <v>44940</v>
      </c>
      <c r="J547" t="s">
        <v>38</v>
      </c>
      <c r="K547" s="2">
        <f t="shared" si="25"/>
        <v>1200</v>
      </c>
      <c r="L547" s="2">
        <f t="shared" si="26"/>
        <v>300</v>
      </c>
    </row>
    <row r="548" spans="1:12" x14ac:dyDescent="0.25">
      <c r="A548" t="s">
        <v>8</v>
      </c>
      <c r="B548" t="s">
        <v>12</v>
      </c>
      <c r="C548" t="s">
        <v>55</v>
      </c>
      <c r="D548" s="2">
        <v>250</v>
      </c>
      <c r="E548" s="2">
        <v>350</v>
      </c>
      <c r="F548">
        <v>2</v>
      </c>
      <c r="G548">
        <v>0</v>
      </c>
      <c r="H548">
        <f t="shared" si="24"/>
        <v>2</v>
      </c>
      <c r="I548" s="33">
        <v>44940</v>
      </c>
      <c r="J548" t="s">
        <v>38</v>
      </c>
      <c r="K548" s="2">
        <f t="shared" si="25"/>
        <v>700</v>
      </c>
      <c r="L548" s="2">
        <f t="shared" si="26"/>
        <v>200</v>
      </c>
    </row>
    <row r="549" spans="1:12" x14ac:dyDescent="0.25">
      <c r="A549" t="s">
        <v>9</v>
      </c>
      <c r="B549" t="s">
        <v>12</v>
      </c>
      <c r="C549" t="s">
        <v>56</v>
      </c>
      <c r="D549" s="2">
        <v>250</v>
      </c>
      <c r="E549" s="2">
        <v>350</v>
      </c>
      <c r="F549">
        <v>1</v>
      </c>
      <c r="G549">
        <v>1</v>
      </c>
      <c r="H549">
        <f t="shared" si="24"/>
        <v>0</v>
      </c>
      <c r="I549" s="33">
        <v>44940</v>
      </c>
      <c r="J549" t="s">
        <v>38</v>
      </c>
      <c r="K549" s="2">
        <f t="shared" si="25"/>
        <v>0</v>
      </c>
      <c r="L549" s="2">
        <f t="shared" si="26"/>
        <v>0</v>
      </c>
    </row>
    <row r="550" spans="1:12" x14ac:dyDescent="0.25">
      <c r="A550" t="s">
        <v>13</v>
      </c>
      <c r="B550" t="s">
        <v>12</v>
      </c>
      <c r="C550" t="s">
        <v>57</v>
      </c>
      <c r="D550" s="2">
        <v>300</v>
      </c>
      <c r="E550" s="2">
        <v>450</v>
      </c>
      <c r="F550">
        <v>2</v>
      </c>
      <c r="G550">
        <v>0</v>
      </c>
      <c r="H550">
        <f t="shared" si="24"/>
        <v>2</v>
      </c>
      <c r="I550" s="33">
        <v>44940</v>
      </c>
      <c r="J550" t="s">
        <v>38</v>
      </c>
      <c r="K550" s="2">
        <f t="shared" si="25"/>
        <v>900</v>
      </c>
      <c r="L550" s="2">
        <f t="shared" si="26"/>
        <v>300</v>
      </c>
    </row>
    <row r="551" spans="1:12" x14ac:dyDescent="0.25">
      <c r="A551" t="s">
        <v>14</v>
      </c>
      <c r="B551" t="s">
        <v>16</v>
      </c>
      <c r="C551" t="s">
        <v>50</v>
      </c>
      <c r="D551" s="2">
        <v>320</v>
      </c>
      <c r="E551" s="2">
        <v>400</v>
      </c>
      <c r="F551">
        <v>0</v>
      </c>
      <c r="G551">
        <v>0</v>
      </c>
      <c r="H551">
        <f t="shared" si="24"/>
        <v>0</v>
      </c>
      <c r="I551" s="33">
        <v>44940</v>
      </c>
      <c r="J551" t="s">
        <v>38</v>
      </c>
      <c r="K551" s="2">
        <f t="shared" si="25"/>
        <v>0</v>
      </c>
      <c r="L551" s="2">
        <f t="shared" si="26"/>
        <v>0</v>
      </c>
    </row>
    <row r="552" spans="1:12" x14ac:dyDescent="0.25">
      <c r="A552" t="s">
        <v>15</v>
      </c>
      <c r="B552" t="s">
        <v>16</v>
      </c>
      <c r="C552" t="s">
        <v>58</v>
      </c>
      <c r="D552" s="2">
        <v>100</v>
      </c>
      <c r="E552" s="2">
        <v>150</v>
      </c>
      <c r="F552">
        <v>3</v>
      </c>
      <c r="G552">
        <v>3</v>
      </c>
      <c r="H552">
        <f t="shared" si="24"/>
        <v>0</v>
      </c>
      <c r="I552" s="33">
        <v>44940</v>
      </c>
      <c r="J552" t="s">
        <v>38</v>
      </c>
      <c r="K552" s="2">
        <f t="shared" si="25"/>
        <v>0</v>
      </c>
      <c r="L552" s="2">
        <f t="shared" si="26"/>
        <v>0</v>
      </c>
    </row>
    <row r="553" spans="1:12" x14ac:dyDescent="0.25">
      <c r="A553" t="s">
        <v>2</v>
      </c>
      <c r="B553" t="s">
        <v>21</v>
      </c>
      <c r="C553" t="s">
        <v>51</v>
      </c>
      <c r="D553" s="2">
        <v>25</v>
      </c>
      <c r="E553" s="2">
        <v>40</v>
      </c>
      <c r="F553">
        <v>15</v>
      </c>
      <c r="G553">
        <v>11</v>
      </c>
      <c r="H553">
        <f t="shared" si="24"/>
        <v>4</v>
      </c>
      <c r="I553" s="33">
        <v>44940</v>
      </c>
      <c r="J553" t="s">
        <v>38</v>
      </c>
      <c r="K553" s="2">
        <f t="shared" si="25"/>
        <v>160</v>
      </c>
      <c r="L553" s="2">
        <f t="shared" si="26"/>
        <v>60</v>
      </c>
    </row>
    <row r="554" spans="1:12" x14ac:dyDescent="0.25">
      <c r="A554" t="s">
        <v>7</v>
      </c>
      <c r="B554" t="s">
        <v>21</v>
      </c>
      <c r="C554" t="s">
        <v>59</v>
      </c>
      <c r="D554" s="2">
        <v>30</v>
      </c>
      <c r="E554" s="2">
        <v>50</v>
      </c>
      <c r="F554">
        <v>13</v>
      </c>
      <c r="G554">
        <v>11</v>
      </c>
      <c r="H554">
        <f t="shared" si="24"/>
        <v>2</v>
      </c>
      <c r="I554" s="33">
        <v>44940</v>
      </c>
      <c r="J554" t="s">
        <v>38</v>
      </c>
      <c r="K554" s="2">
        <f t="shared" si="25"/>
        <v>100</v>
      </c>
      <c r="L554" s="2">
        <f t="shared" si="26"/>
        <v>40</v>
      </c>
    </row>
    <row r="555" spans="1:12" x14ac:dyDescent="0.25">
      <c r="A555" t="s">
        <v>9</v>
      </c>
      <c r="B555" t="s">
        <v>21</v>
      </c>
      <c r="C555" t="s">
        <v>60</v>
      </c>
      <c r="D555" s="2">
        <v>25</v>
      </c>
      <c r="E555" s="2">
        <v>40</v>
      </c>
      <c r="F555">
        <v>15</v>
      </c>
      <c r="G555">
        <v>10</v>
      </c>
      <c r="H555">
        <f t="shared" si="24"/>
        <v>5</v>
      </c>
      <c r="I555" s="33">
        <v>44940</v>
      </c>
      <c r="J555" t="s">
        <v>38</v>
      </c>
      <c r="K555" s="2">
        <f t="shared" si="25"/>
        <v>200</v>
      </c>
      <c r="L555" s="2">
        <f t="shared" si="26"/>
        <v>75</v>
      </c>
    </row>
    <row r="556" spans="1:12" x14ac:dyDescent="0.25">
      <c r="A556" t="s">
        <v>23</v>
      </c>
      <c r="B556" t="s">
        <v>21</v>
      </c>
      <c r="C556" t="s">
        <v>61</v>
      </c>
      <c r="D556" s="2">
        <v>25</v>
      </c>
      <c r="E556" s="2">
        <v>40</v>
      </c>
      <c r="F556">
        <v>9</v>
      </c>
      <c r="G556">
        <v>2</v>
      </c>
      <c r="H556">
        <f t="shared" si="24"/>
        <v>7</v>
      </c>
      <c r="I556" s="33">
        <v>44940</v>
      </c>
      <c r="J556" t="s">
        <v>38</v>
      </c>
      <c r="K556" s="2">
        <f t="shared" si="25"/>
        <v>280</v>
      </c>
      <c r="L556" s="2">
        <f t="shared" si="26"/>
        <v>105</v>
      </c>
    </row>
    <row r="557" spans="1:12" x14ac:dyDescent="0.25">
      <c r="A557" t="s">
        <v>13</v>
      </c>
      <c r="B557" t="s">
        <v>21</v>
      </c>
      <c r="C557" t="s">
        <v>62</v>
      </c>
      <c r="D557" s="2">
        <v>30</v>
      </c>
      <c r="E557" s="2">
        <v>55</v>
      </c>
      <c r="F557">
        <v>12</v>
      </c>
      <c r="G557">
        <v>6</v>
      </c>
      <c r="H557">
        <f t="shared" si="24"/>
        <v>6</v>
      </c>
      <c r="I557" s="33">
        <v>44940</v>
      </c>
      <c r="J557" t="s">
        <v>38</v>
      </c>
      <c r="K557" s="2">
        <f t="shared" si="25"/>
        <v>330</v>
      </c>
      <c r="L557" s="2">
        <f t="shared" si="26"/>
        <v>150</v>
      </c>
    </row>
    <row r="558" spans="1:12" x14ac:dyDescent="0.25">
      <c r="A558" t="s">
        <v>17</v>
      </c>
      <c r="B558" t="s">
        <v>21</v>
      </c>
      <c r="C558" t="s">
        <v>63</v>
      </c>
      <c r="D558" s="2">
        <v>40</v>
      </c>
      <c r="E558" s="2">
        <v>65</v>
      </c>
      <c r="F558">
        <v>9</v>
      </c>
      <c r="G558">
        <v>5</v>
      </c>
      <c r="H558">
        <f t="shared" si="24"/>
        <v>4</v>
      </c>
      <c r="I558" s="33">
        <v>44940</v>
      </c>
      <c r="J558" t="s">
        <v>38</v>
      </c>
      <c r="K558" s="2">
        <f t="shared" si="25"/>
        <v>260</v>
      </c>
      <c r="L558" s="2">
        <f t="shared" si="26"/>
        <v>100</v>
      </c>
    </row>
    <row r="559" spans="1:12" x14ac:dyDescent="0.25">
      <c r="A559" t="s">
        <v>34</v>
      </c>
      <c r="B559" t="s">
        <v>21</v>
      </c>
      <c r="C559" t="s">
        <v>64</v>
      </c>
      <c r="D559" s="2">
        <v>50</v>
      </c>
      <c r="E559" s="2">
        <v>70</v>
      </c>
      <c r="F559">
        <v>0</v>
      </c>
      <c r="G559">
        <v>0</v>
      </c>
      <c r="H559">
        <f t="shared" si="24"/>
        <v>0</v>
      </c>
      <c r="I559" s="33">
        <v>44940</v>
      </c>
      <c r="J559" t="s">
        <v>38</v>
      </c>
      <c r="K559" s="2">
        <f t="shared" si="25"/>
        <v>0</v>
      </c>
      <c r="L559" s="2">
        <f t="shared" si="26"/>
        <v>0</v>
      </c>
    </row>
    <row r="560" spans="1:12" x14ac:dyDescent="0.25">
      <c r="A560" t="s">
        <v>18</v>
      </c>
      <c r="B560" t="s">
        <v>21</v>
      </c>
      <c r="C560" t="s">
        <v>65</v>
      </c>
      <c r="D560" s="2">
        <v>20</v>
      </c>
      <c r="E560" s="2">
        <v>30</v>
      </c>
      <c r="F560">
        <v>17</v>
      </c>
      <c r="G560">
        <v>13</v>
      </c>
      <c r="H560">
        <f t="shared" si="24"/>
        <v>4</v>
      </c>
      <c r="I560" s="33">
        <v>44940</v>
      </c>
      <c r="J560" t="s">
        <v>38</v>
      </c>
      <c r="K560" s="2">
        <f t="shared" si="25"/>
        <v>120</v>
      </c>
      <c r="L560" s="2">
        <f t="shared" si="26"/>
        <v>40</v>
      </c>
    </row>
    <row r="561" spans="1:12" x14ac:dyDescent="0.25">
      <c r="A561" t="s">
        <v>19</v>
      </c>
      <c r="B561" t="s">
        <v>21</v>
      </c>
      <c r="C561" t="s">
        <v>66</v>
      </c>
      <c r="D561" s="2">
        <v>10</v>
      </c>
      <c r="E561" s="2">
        <v>20</v>
      </c>
      <c r="F561">
        <v>17</v>
      </c>
      <c r="G561">
        <v>8</v>
      </c>
      <c r="H561">
        <f t="shared" si="24"/>
        <v>9</v>
      </c>
      <c r="I561" s="33">
        <v>44940</v>
      </c>
      <c r="J561" t="s">
        <v>38</v>
      </c>
      <c r="K561" s="2">
        <f t="shared" si="25"/>
        <v>180</v>
      </c>
      <c r="L561" s="2">
        <f t="shared" si="26"/>
        <v>90</v>
      </c>
    </row>
    <row r="562" spans="1:12" x14ac:dyDescent="0.25">
      <c r="A562" t="s">
        <v>20</v>
      </c>
      <c r="B562" t="s">
        <v>21</v>
      </c>
      <c r="C562" t="s">
        <v>67</v>
      </c>
      <c r="D562" s="2">
        <v>60</v>
      </c>
      <c r="E562" s="2">
        <v>100</v>
      </c>
      <c r="F562">
        <v>4</v>
      </c>
      <c r="G562">
        <v>4</v>
      </c>
      <c r="H562">
        <f t="shared" si="24"/>
        <v>0</v>
      </c>
      <c r="I562" s="33">
        <v>44940</v>
      </c>
      <c r="J562" t="s">
        <v>38</v>
      </c>
      <c r="K562" s="2">
        <f t="shared" si="25"/>
        <v>0</v>
      </c>
      <c r="L562" s="2">
        <f t="shared" si="26"/>
        <v>0</v>
      </c>
    </row>
    <row r="563" spans="1:12" x14ac:dyDescent="0.25">
      <c r="A563" t="s">
        <v>22</v>
      </c>
      <c r="B563" t="s">
        <v>24</v>
      </c>
      <c r="C563" t="s">
        <v>68</v>
      </c>
      <c r="D563" s="2">
        <v>50</v>
      </c>
      <c r="E563" s="2">
        <v>70</v>
      </c>
      <c r="F563">
        <v>4</v>
      </c>
      <c r="G563">
        <v>2</v>
      </c>
      <c r="H563">
        <f t="shared" si="24"/>
        <v>2</v>
      </c>
      <c r="I563" s="33">
        <v>44940</v>
      </c>
      <c r="J563" t="s">
        <v>38</v>
      </c>
      <c r="K563" s="2">
        <f t="shared" si="25"/>
        <v>140</v>
      </c>
      <c r="L563" s="2">
        <f t="shared" si="26"/>
        <v>40</v>
      </c>
    </row>
    <row r="564" spans="1:12" x14ac:dyDescent="0.25">
      <c r="A564" t="s">
        <v>25</v>
      </c>
      <c r="B564" t="s">
        <v>24</v>
      </c>
      <c r="C564" t="s">
        <v>69</v>
      </c>
      <c r="D564" s="2">
        <v>45</v>
      </c>
      <c r="E564" s="2">
        <v>65</v>
      </c>
      <c r="F564">
        <v>0</v>
      </c>
      <c r="G564">
        <v>0</v>
      </c>
      <c r="H564">
        <f t="shared" si="24"/>
        <v>0</v>
      </c>
      <c r="I564" s="33">
        <v>44940</v>
      </c>
      <c r="J564" t="s">
        <v>38</v>
      </c>
      <c r="K564" s="2">
        <f t="shared" si="25"/>
        <v>0</v>
      </c>
      <c r="L564" s="2">
        <f t="shared" si="26"/>
        <v>0</v>
      </c>
    </row>
    <row r="565" spans="1:12" x14ac:dyDescent="0.25">
      <c r="A565" t="s">
        <v>26</v>
      </c>
      <c r="B565" t="s">
        <v>24</v>
      </c>
      <c r="C565" t="s">
        <v>70</v>
      </c>
      <c r="D565" s="2">
        <v>50</v>
      </c>
      <c r="E565" s="2">
        <v>70</v>
      </c>
      <c r="F565">
        <v>0</v>
      </c>
      <c r="G565">
        <v>0</v>
      </c>
      <c r="H565">
        <f t="shared" si="24"/>
        <v>0</v>
      </c>
      <c r="I565" s="33">
        <v>44940</v>
      </c>
      <c r="J565" t="s">
        <v>38</v>
      </c>
      <c r="K565" s="2">
        <f t="shared" si="25"/>
        <v>0</v>
      </c>
      <c r="L565" s="2">
        <f t="shared" si="26"/>
        <v>0</v>
      </c>
    </row>
    <row r="566" spans="1:12" x14ac:dyDescent="0.25">
      <c r="A566" t="s">
        <v>27</v>
      </c>
      <c r="B566" t="s">
        <v>24</v>
      </c>
      <c r="C566" t="s">
        <v>71</v>
      </c>
      <c r="D566" s="2">
        <v>10</v>
      </c>
      <c r="E566" s="2">
        <v>15</v>
      </c>
      <c r="F566">
        <v>10</v>
      </c>
      <c r="G566">
        <v>3</v>
      </c>
      <c r="H566">
        <f t="shared" si="24"/>
        <v>7</v>
      </c>
      <c r="I566" s="33">
        <v>44940</v>
      </c>
      <c r="J566" t="s">
        <v>38</v>
      </c>
      <c r="K566" s="2">
        <f t="shared" si="25"/>
        <v>105</v>
      </c>
      <c r="L566" s="2">
        <f t="shared" si="26"/>
        <v>35</v>
      </c>
    </row>
    <row r="567" spans="1:12" x14ac:dyDescent="0.25">
      <c r="A567" t="s">
        <v>28</v>
      </c>
      <c r="B567" t="s">
        <v>24</v>
      </c>
      <c r="C567" t="s">
        <v>72</v>
      </c>
      <c r="D567" s="2">
        <v>20</v>
      </c>
      <c r="E567" s="2">
        <v>25</v>
      </c>
      <c r="F567">
        <v>9</v>
      </c>
      <c r="G567">
        <v>4</v>
      </c>
      <c r="H567">
        <f t="shared" si="24"/>
        <v>5</v>
      </c>
      <c r="I567" s="33">
        <v>44940</v>
      </c>
      <c r="J567" t="s">
        <v>38</v>
      </c>
      <c r="K567" s="2">
        <f t="shared" si="25"/>
        <v>125</v>
      </c>
      <c r="L567" s="2">
        <f t="shared" si="26"/>
        <v>25</v>
      </c>
    </row>
    <row r="568" spans="1:12" x14ac:dyDescent="0.25">
      <c r="A568" t="s">
        <v>29</v>
      </c>
      <c r="B568" t="s">
        <v>30</v>
      </c>
      <c r="C568" t="s">
        <v>73</v>
      </c>
      <c r="D568" s="2">
        <v>25</v>
      </c>
      <c r="E568" s="2">
        <v>30</v>
      </c>
      <c r="F568">
        <v>15</v>
      </c>
      <c r="G568">
        <v>8</v>
      </c>
      <c r="H568">
        <f t="shared" si="24"/>
        <v>7</v>
      </c>
      <c r="I568" s="33">
        <v>44940</v>
      </c>
      <c r="J568" t="s">
        <v>38</v>
      </c>
      <c r="K568" s="2">
        <f t="shared" si="25"/>
        <v>210</v>
      </c>
      <c r="L568" s="2">
        <f t="shared" si="26"/>
        <v>35</v>
      </c>
    </row>
    <row r="569" spans="1:12" x14ac:dyDescent="0.25">
      <c r="A569" t="s">
        <v>31</v>
      </c>
      <c r="B569" t="s">
        <v>30</v>
      </c>
      <c r="C569" t="s">
        <v>74</v>
      </c>
      <c r="D569" s="2">
        <v>25</v>
      </c>
      <c r="E569" s="2">
        <v>30</v>
      </c>
      <c r="F569">
        <v>7</v>
      </c>
      <c r="G569">
        <v>6</v>
      </c>
      <c r="H569">
        <f t="shared" si="24"/>
        <v>1</v>
      </c>
      <c r="I569" s="33">
        <v>44940</v>
      </c>
      <c r="J569" t="s">
        <v>38</v>
      </c>
      <c r="K569" s="2">
        <f t="shared" si="25"/>
        <v>30</v>
      </c>
      <c r="L569" s="2">
        <f t="shared" si="26"/>
        <v>5</v>
      </c>
    </row>
    <row r="570" spans="1:12" x14ac:dyDescent="0.25">
      <c r="A570" t="s">
        <v>32</v>
      </c>
      <c r="B570" t="s">
        <v>30</v>
      </c>
      <c r="C570" t="s">
        <v>75</v>
      </c>
      <c r="D570" s="2">
        <v>25</v>
      </c>
      <c r="E570" s="2">
        <v>30</v>
      </c>
      <c r="F570">
        <v>9</v>
      </c>
      <c r="G570">
        <v>4</v>
      </c>
      <c r="H570">
        <f t="shared" si="24"/>
        <v>5</v>
      </c>
      <c r="I570" s="33">
        <v>44940</v>
      </c>
      <c r="J570" t="s">
        <v>38</v>
      </c>
      <c r="K570" s="2">
        <f t="shared" si="25"/>
        <v>150</v>
      </c>
      <c r="L570" s="2">
        <f t="shared" si="26"/>
        <v>25</v>
      </c>
    </row>
    <row r="571" spans="1:12" x14ac:dyDescent="0.25">
      <c r="A571" t="s">
        <v>33</v>
      </c>
      <c r="B571" t="s">
        <v>30</v>
      </c>
      <c r="C571" t="s">
        <v>76</v>
      </c>
      <c r="D571" s="2">
        <v>30</v>
      </c>
      <c r="E571" s="2">
        <v>35</v>
      </c>
      <c r="F571">
        <v>8</v>
      </c>
      <c r="G571">
        <v>8</v>
      </c>
      <c r="H571">
        <f t="shared" si="24"/>
        <v>0</v>
      </c>
      <c r="I571" s="33">
        <v>44940</v>
      </c>
      <c r="J571" t="s">
        <v>38</v>
      </c>
      <c r="K571" s="2">
        <f t="shared" si="25"/>
        <v>0</v>
      </c>
      <c r="L571" s="2">
        <f t="shared" si="26"/>
        <v>0</v>
      </c>
    </row>
    <row r="572" spans="1:12" x14ac:dyDescent="0.25">
      <c r="A572" t="s">
        <v>2</v>
      </c>
      <c r="B572" t="s">
        <v>3</v>
      </c>
      <c r="C572" t="s">
        <v>48</v>
      </c>
      <c r="D572" s="2">
        <v>100</v>
      </c>
      <c r="E572" s="2">
        <v>200</v>
      </c>
      <c r="F572">
        <v>4</v>
      </c>
      <c r="G572">
        <v>2</v>
      </c>
      <c r="H572">
        <f t="shared" si="24"/>
        <v>2</v>
      </c>
      <c r="I572" s="33">
        <v>44941</v>
      </c>
      <c r="J572" t="s">
        <v>6</v>
      </c>
      <c r="K572" s="2">
        <f t="shared" si="25"/>
        <v>400</v>
      </c>
      <c r="L572" s="2">
        <f t="shared" si="26"/>
        <v>200</v>
      </c>
    </row>
    <row r="573" spans="1:12" x14ac:dyDescent="0.25">
      <c r="A573" t="s">
        <v>7</v>
      </c>
      <c r="B573" t="s">
        <v>3</v>
      </c>
      <c r="C573" t="s">
        <v>77</v>
      </c>
      <c r="D573" s="2">
        <v>200</v>
      </c>
      <c r="E573" s="2">
        <v>300</v>
      </c>
      <c r="F573">
        <v>0</v>
      </c>
      <c r="G573">
        <v>0</v>
      </c>
      <c r="H573">
        <f t="shared" si="24"/>
        <v>0</v>
      </c>
      <c r="I573" s="33">
        <v>44941</v>
      </c>
      <c r="J573" t="s">
        <v>6</v>
      </c>
      <c r="K573" s="2">
        <f t="shared" si="25"/>
        <v>0</v>
      </c>
      <c r="L573" s="2">
        <f t="shared" si="26"/>
        <v>0</v>
      </c>
    </row>
    <row r="574" spans="1:12" x14ac:dyDescent="0.25">
      <c r="A574" t="s">
        <v>23</v>
      </c>
      <c r="B574" t="s">
        <v>3</v>
      </c>
      <c r="C574" t="s">
        <v>52</v>
      </c>
      <c r="D574" s="2">
        <v>150</v>
      </c>
      <c r="E574" s="2">
        <v>250</v>
      </c>
      <c r="F574">
        <v>3</v>
      </c>
      <c r="G574">
        <v>2</v>
      </c>
      <c r="H574">
        <f t="shared" si="24"/>
        <v>1</v>
      </c>
      <c r="I574" s="33">
        <v>44941</v>
      </c>
      <c r="J574" t="s">
        <v>6</v>
      </c>
      <c r="K574" s="2">
        <f t="shared" si="25"/>
        <v>250</v>
      </c>
      <c r="L574" s="2">
        <f t="shared" si="26"/>
        <v>100</v>
      </c>
    </row>
    <row r="575" spans="1:12" x14ac:dyDescent="0.25">
      <c r="A575" t="s">
        <v>9</v>
      </c>
      <c r="B575" t="s">
        <v>3</v>
      </c>
      <c r="C575" t="s">
        <v>53</v>
      </c>
      <c r="D575" s="2">
        <v>100</v>
      </c>
      <c r="E575" s="2">
        <v>200</v>
      </c>
      <c r="F575">
        <v>2</v>
      </c>
      <c r="G575">
        <v>1</v>
      </c>
      <c r="H575">
        <f t="shared" si="24"/>
        <v>1</v>
      </c>
      <c r="I575" s="33">
        <v>44941</v>
      </c>
      <c r="J575" t="s">
        <v>6</v>
      </c>
      <c r="K575" s="2">
        <f t="shared" si="25"/>
        <v>200</v>
      </c>
      <c r="L575" s="2">
        <f t="shared" si="26"/>
        <v>100</v>
      </c>
    </row>
    <row r="576" spans="1:12" x14ac:dyDescent="0.25">
      <c r="A576" t="s">
        <v>2</v>
      </c>
      <c r="B576" t="s">
        <v>12</v>
      </c>
      <c r="C576" t="s">
        <v>49</v>
      </c>
      <c r="D576" s="2">
        <v>250</v>
      </c>
      <c r="E576" s="2">
        <v>350</v>
      </c>
      <c r="F576">
        <v>2</v>
      </c>
      <c r="G576">
        <v>2</v>
      </c>
      <c r="H576">
        <f t="shared" si="24"/>
        <v>0</v>
      </c>
      <c r="I576" s="33">
        <v>44941</v>
      </c>
      <c r="J576" t="s">
        <v>6</v>
      </c>
      <c r="K576" s="2">
        <f t="shared" si="25"/>
        <v>0</v>
      </c>
      <c r="L576" s="2">
        <f t="shared" si="26"/>
        <v>0</v>
      </c>
    </row>
    <row r="577" spans="1:12" x14ac:dyDescent="0.25">
      <c r="A577" t="s">
        <v>7</v>
      </c>
      <c r="B577" t="s">
        <v>12</v>
      </c>
      <c r="C577" t="s">
        <v>54</v>
      </c>
      <c r="D577" s="2">
        <v>300</v>
      </c>
      <c r="E577" s="2">
        <v>400</v>
      </c>
      <c r="F577">
        <v>1</v>
      </c>
      <c r="G577">
        <v>1</v>
      </c>
      <c r="H577">
        <f t="shared" si="24"/>
        <v>0</v>
      </c>
      <c r="I577" s="33">
        <v>44941</v>
      </c>
      <c r="J577" t="s">
        <v>6</v>
      </c>
      <c r="K577" s="2">
        <f t="shared" si="25"/>
        <v>0</v>
      </c>
      <c r="L577" s="2">
        <f t="shared" si="26"/>
        <v>0</v>
      </c>
    </row>
    <row r="578" spans="1:12" x14ac:dyDescent="0.25">
      <c r="A578" t="s">
        <v>8</v>
      </c>
      <c r="B578" t="s">
        <v>12</v>
      </c>
      <c r="C578" t="s">
        <v>55</v>
      </c>
      <c r="D578" s="2">
        <v>250</v>
      </c>
      <c r="E578" s="2">
        <v>350</v>
      </c>
      <c r="F578">
        <v>0</v>
      </c>
      <c r="G578">
        <v>0</v>
      </c>
      <c r="H578">
        <f t="shared" ref="H578:H641" si="27">F578-G578</f>
        <v>0</v>
      </c>
      <c r="I578" s="33">
        <v>44941</v>
      </c>
      <c r="J578" t="s">
        <v>6</v>
      </c>
      <c r="K578" s="2">
        <f t="shared" ref="K578:K641" si="28">E578*H578</f>
        <v>0</v>
      </c>
      <c r="L578" s="2">
        <f t="shared" ref="L578:L641" si="29">(E578-D578)*H578</f>
        <v>0</v>
      </c>
    </row>
    <row r="579" spans="1:12" x14ac:dyDescent="0.25">
      <c r="A579" t="s">
        <v>9</v>
      </c>
      <c r="B579" t="s">
        <v>12</v>
      </c>
      <c r="C579" t="s">
        <v>56</v>
      </c>
      <c r="D579" s="2">
        <v>250</v>
      </c>
      <c r="E579" s="2">
        <v>350</v>
      </c>
      <c r="F579">
        <v>2</v>
      </c>
      <c r="G579">
        <v>2</v>
      </c>
      <c r="H579">
        <f t="shared" si="27"/>
        <v>0</v>
      </c>
      <c r="I579" s="33">
        <v>44941</v>
      </c>
      <c r="J579" t="s">
        <v>6</v>
      </c>
      <c r="K579" s="2">
        <f t="shared" si="28"/>
        <v>0</v>
      </c>
      <c r="L579" s="2">
        <f t="shared" si="29"/>
        <v>0</v>
      </c>
    </row>
    <row r="580" spans="1:12" x14ac:dyDescent="0.25">
      <c r="A580" t="s">
        <v>13</v>
      </c>
      <c r="B580" t="s">
        <v>12</v>
      </c>
      <c r="C580" t="s">
        <v>57</v>
      </c>
      <c r="D580" s="2">
        <v>300</v>
      </c>
      <c r="E580" s="2">
        <v>450</v>
      </c>
      <c r="F580">
        <v>0</v>
      </c>
      <c r="G580">
        <v>0</v>
      </c>
      <c r="H580">
        <f t="shared" si="27"/>
        <v>0</v>
      </c>
      <c r="I580" s="33">
        <v>44941</v>
      </c>
      <c r="J580" t="s">
        <v>6</v>
      </c>
      <c r="K580" s="2">
        <f t="shared" si="28"/>
        <v>0</v>
      </c>
      <c r="L580" s="2">
        <f t="shared" si="29"/>
        <v>0</v>
      </c>
    </row>
    <row r="581" spans="1:12" x14ac:dyDescent="0.25">
      <c r="A581" t="s">
        <v>14</v>
      </c>
      <c r="B581" t="s">
        <v>16</v>
      </c>
      <c r="C581" t="s">
        <v>50</v>
      </c>
      <c r="D581" s="2">
        <v>320</v>
      </c>
      <c r="E581" s="2">
        <v>400</v>
      </c>
      <c r="F581">
        <v>0</v>
      </c>
      <c r="G581">
        <v>0</v>
      </c>
      <c r="H581">
        <f t="shared" si="27"/>
        <v>0</v>
      </c>
      <c r="I581" s="33">
        <v>44941</v>
      </c>
      <c r="J581" t="s">
        <v>6</v>
      </c>
      <c r="K581" s="2">
        <f t="shared" si="28"/>
        <v>0</v>
      </c>
      <c r="L581" s="2">
        <f t="shared" si="29"/>
        <v>0</v>
      </c>
    </row>
    <row r="582" spans="1:12" x14ac:dyDescent="0.25">
      <c r="A582" t="s">
        <v>15</v>
      </c>
      <c r="B582" t="s">
        <v>16</v>
      </c>
      <c r="C582" t="s">
        <v>58</v>
      </c>
      <c r="D582" s="2">
        <v>100</v>
      </c>
      <c r="E582" s="2">
        <v>150</v>
      </c>
      <c r="F582">
        <v>3</v>
      </c>
      <c r="G582">
        <v>3</v>
      </c>
      <c r="H582">
        <f t="shared" si="27"/>
        <v>0</v>
      </c>
      <c r="I582" s="33">
        <v>44941</v>
      </c>
      <c r="J582" t="s">
        <v>6</v>
      </c>
      <c r="K582" s="2">
        <f t="shared" si="28"/>
        <v>0</v>
      </c>
      <c r="L582" s="2">
        <f t="shared" si="29"/>
        <v>0</v>
      </c>
    </row>
    <row r="583" spans="1:12" x14ac:dyDescent="0.25">
      <c r="A583" t="s">
        <v>2</v>
      </c>
      <c r="B583" t="s">
        <v>21</v>
      </c>
      <c r="C583" t="s">
        <v>51</v>
      </c>
      <c r="D583" s="2">
        <v>25</v>
      </c>
      <c r="E583" s="2">
        <v>40</v>
      </c>
      <c r="F583">
        <v>11</v>
      </c>
      <c r="G583">
        <v>11</v>
      </c>
      <c r="H583">
        <f t="shared" si="27"/>
        <v>0</v>
      </c>
      <c r="I583" s="33">
        <v>44941</v>
      </c>
      <c r="J583" t="s">
        <v>6</v>
      </c>
      <c r="K583" s="2">
        <f t="shared" si="28"/>
        <v>0</v>
      </c>
      <c r="L583" s="2">
        <f t="shared" si="29"/>
        <v>0</v>
      </c>
    </row>
    <row r="584" spans="1:12" x14ac:dyDescent="0.25">
      <c r="A584" t="s">
        <v>7</v>
      </c>
      <c r="B584" t="s">
        <v>21</v>
      </c>
      <c r="C584" t="s">
        <v>59</v>
      </c>
      <c r="D584" s="2">
        <v>30</v>
      </c>
      <c r="E584" s="2">
        <v>50</v>
      </c>
      <c r="F584">
        <v>11</v>
      </c>
      <c r="G584">
        <v>11</v>
      </c>
      <c r="H584">
        <f t="shared" si="27"/>
        <v>0</v>
      </c>
      <c r="I584" s="33">
        <v>44941</v>
      </c>
      <c r="J584" t="s">
        <v>6</v>
      </c>
      <c r="K584" s="2">
        <f t="shared" si="28"/>
        <v>0</v>
      </c>
      <c r="L584" s="2">
        <f t="shared" si="29"/>
        <v>0</v>
      </c>
    </row>
    <row r="585" spans="1:12" x14ac:dyDescent="0.25">
      <c r="A585" t="s">
        <v>9</v>
      </c>
      <c r="B585" t="s">
        <v>21</v>
      </c>
      <c r="C585" t="s">
        <v>60</v>
      </c>
      <c r="D585" s="2">
        <v>25</v>
      </c>
      <c r="E585" s="2">
        <v>40</v>
      </c>
      <c r="F585">
        <v>10</v>
      </c>
      <c r="G585">
        <v>8</v>
      </c>
      <c r="H585">
        <f t="shared" si="27"/>
        <v>2</v>
      </c>
      <c r="I585" s="33">
        <v>44941</v>
      </c>
      <c r="J585" t="s">
        <v>6</v>
      </c>
      <c r="K585" s="2">
        <f t="shared" si="28"/>
        <v>80</v>
      </c>
      <c r="L585" s="2">
        <f t="shared" si="29"/>
        <v>30</v>
      </c>
    </row>
    <row r="586" spans="1:12" x14ac:dyDescent="0.25">
      <c r="A586" t="s">
        <v>23</v>
      </c>
      <c r="B586" t="s">
        <v>21</v>
      </c>
      <c r="C586" t="s">
        <v>61</v>
      </c>
      <c r="D586" s="2">
        <v>25</v>
      </c>
      <c r="E586" s="2">
        <v>40</v>
      </c>
      <c r="F586">
        <v>2</v>
      </c>
      <c r="G586">
        <v>2</v>
      </c>
      <c r="H586">
        <f t="shared" si="27"/>
        <v>0</v>
      </c>
      <c r="I586" s="33">
        <v>44941</v>
      </c>
      <c r="J586" t="s">
        <v>6</v>
      </c>
      <c r="K586" s="2">
        <f t="shared" si="28"/>
        <v>0</v>
      </c>
      <c r="L586" s="2">
        <f t="shared" si="29"/>
        <v>0</v>
      </c>
    </row>
    <row r="587" spans="1:12" x14ac:dyDescent="0.25">
      <c r="A587" t="s">
        <v>13</v>
      </c>
      <c r="B587" t="s">
        <v>21</v>
      </c>
      <c r="C587" t="s">
        <v>62</v>
      </c>
      <c r="D587" s="2">
        <v>30</v>
      </c>
      <c r="E587" s="2">
        <v>55</v>
      </c>
      <c r="F587">
        <v>6</v>
      </c>
      <c r="G587">
        <v>4</v>
      </c>
      <c r="H587">
        <f t="shared" si="27"/>
        <v>2</v>
      </c>
      <c r="I587" s="33">
        <v>44941</v>
      </c>
      <c r="J587" t="s">
        <v>6</v>
      </c>
      <c r="K587" s="2">
        <f t="shared" si="28"/>
        <v>110</v>
      </c>
      <c r="L587" s="2">
        <f t="shared" si="29"/>
        <v>50</v>
      </c>
    </row>
    <row r="588" spans="1:12" x14ac:dyDescent="0.25">
      <c r="A588" t="s">
        <v>17</v>
      </c>
      <c r="B588" t="s">
        <v>21</v>
      </c>
      <c r="C588" t="s">
        <v>63</v>
      </c>
      <c r="D588" s="2">
        <v>40</v>
      </c>
      <c r="E588" s="2">
        <v>65</v>
      </c>
      <c r="F588">
        <v>5</v>
      </c>
      <c r="G588">
        <v>4</v>
      </c>
      <c r="H588">
        <f t="shared" si="27"/>
        <v>1</v>
      </c>
      <c r="I588" s="33">
        <v>44941</v>
      </c>
      <c r="J588" t="s">
        <v>6</v>
      </c>
      <c r="K588" s="2">
        <f t="shared" si="28"/>
        <v>65</v>
      </c>
      <c r="L588" s="2">
        <f t="shared" si="29"/>
        <v>25</v>
      </c>
    </row>
    <row r="589" spans="1:12" x14ac:dyDescent="0.25">
      <c r="A589" t="s">
        <v>34</v>
      </c>
      <c r="B589" t="s">
        <v>21</v>
      </c>
      <c r="C589" t="s">
        <v>64</v>
      </c>
      <c r="D589" s="2">
        <v>50</v>
      </c>
      <c r="E589" s="2">
        <v>70</v>
      </c>
      <c r="F589">
        <v>0</v>
      </c>
      <c r="G589">
        <v>0</v>
      </c>
      <c r="H589">
        <f t="shared" si="27"/>
        <v>0</v>
      </c>
      <c r="I589" s="33">
        <v>44941</v>
      </c>
      <c r="J589" t="s">
        <v>6</v>
      </c>
      <c r="K589" s="2">
        <f t="shared" si="28"/>
        <v>0</v>
      </c>
      <c r="L589" s="2">
        <f t="shared" si="29"/>
        <v>0</v>
      </c>
    </row>
    <row r="590" spans="1:12" x14ac:dyDescent="0.25">
      <c r="A590" t="s">
        <v>18</v>
      </c>
      <c r="B590" t="s">
        <v>21</v>
      </c>
      <c r="C590" t="s">
        <v>65</v>
      </c>
      <c r="D590" s="2">
        <v>20</v>
      </c>
      <c r="E590" s="2">
        <v>30</v>
      </c>
      <c r="F590">
        <v>13</v>
      </c>
      <c r="G590">
        <v>13</v>
      </c>
      <c r="H590">
        <f t="shared" si="27"/>
        <v>0</v>
      </c>
      <c r="I590" s="33">
        <v>44941</v>
      </c>
      <c r="J590" t="s">
        <v>6</v>
      </c>
      <c r="K590" s="2">
        <f t="shared" si="28"/>
        <v>0</v>
      </c>
      <c r="L590" s="2">
        <f t="shared" si="29"/>
        <v>0</v>
      </c>
    </row>
    <row r="591" spans="1:12" x14ac:dyDescent="0.25">
      <c r="A591" t="s">
        <v>19</v>
      </c>
      <c r="B591" t="s">
        <v>21</v>
      </c>
      <c r="C591" t="s">
        <v>66</v>
      </c>
      <c r="D591" s="2">
        <v>10</v>
      </c>
      <c r="E591" s="2">
        <v>20</v>
      </c>
      <c r="F591">
        <v>8</v>
      </c>
      <c r="G591">
        <v>8</v>
      </c>
      <c r="H591">
        <f t="shared" si="27"/>
        <v>0</v>
      </c>
      <c r="I591" s="33">
        <v>44941</v>
      </c>
      <c r="J591" t="s">
        <v>6</v>
      </c>
      <c r="K591" s="2">
        <f t="shared" si="28"/>
        <v>0</v>
      </c>
      <c r="L591" s="2">
        <f t="shared" si="29"/>
        <v>0</v>
      </c>
    </row>
    <row r="592" spans="1:12" x14ac:dyDescent="0.25">
      <c r="A592" t="s">
        <v>20</v>
      </c>
      <c r="B592" t="s">
        <v>21</v>
      </c>
      <c r="C592" t="s">
        <v>67</v>
      </c>
      <c r="D592" s="2">
        <v>60</v>
      </c>
      <c r="E592" s="2">
        <v>100</v>
      </c>
      <c r="F592">
        <v>4</v>
      </c>
      <c r="G592">
        <v>3</v>
      </c>
      <c r="H592">
        <f t="shared" si="27"/>
        <v>1</v>
      </c>
      <c r="I592" s="33">
        <v>44941</v>
      </c>
      <c r="J592" t="s">
        <v>6</v>
      </c>
      <c r="K592" s="2">
        <f t="shared" si="28"/>
        <v>100</v>
      </c>
      <c r="L592" s="2">
        <f t="shared" si="29"/>
        <v>40</v>
      </c>
    </row>
    <row r="593" spans="1:12" x14ac:dyDescent="0.25">
      <c r="A593" t="s">
        <v>22</v>
      </c>
      <c r="B593" t="s">
        <v>24</v>
      </c>
      <c r="C593" t="s">
        <v>68</v>
      </c>
      <c r="D593" s="2">
        <v>50</v>
      </c>
      <c r="E593" s="2">
        <v>70</v>
      </c>
      <c r="F593">
        <v>2</v>
      </c>
      <c r="G593">
        <v>2</v>
      </c>
      <c r="H593">
        <f t="shared" si="27"/>
        <v>0</v>
      </c>
      <c r="I593" s="33">
        <v>44941</v>
      </c>
      <c r="J593" t="s">
        <v>6</v>
      </c>
      <c r="K593" s="2">
        <f t="shared" si="28"/>
        <v>0</v>
      </c>
      <c r="L593" s="2">
        <f t="shared" si="29"/>
        <v>0</v>
      </c>
    </row>
    <row r="594" spans="1:12" x14ac:dyDescent="0.25">
      <c r="A594" t="s">
        <v>25</v>
      </c>
      <c r="B594" t="s">
        <v>24</v>
      </c>
      <c r="C594" t="s">
        <v>69</v>
      </c>
      <c r="D594" s="2">
        <v>45</v>
      </c>
      <c r="E594" s="2">
        <v>65</v>
      </c>
      <c r="F594">
        <v>0</v>
      </c>
      <c r="G594">
        <v>0</v>
      </c>
      <c r="H594">
        <f t="shared" si="27"/>
        <v>0</v>
      </c>
      <c r="I594" s="33">
        <v>44941</v>
      </c>
      <c r="J594" t="s">
        <v>6</v>
      </c>
      <c r="K594" s="2">
        <f t="shared" si="28"/>
        <v>0</v>
      </c>
      <c r="L594" s="2">
        <f t="shared" si="29"/>
        <v>0</v>
      </c>
    </row>
    <row r="595" spans="1:12" x14ac:dyDescent="0.25">
      <c r="A595" t="s">
        <v>26</v>
      </c>
      <c r="B595" t="s">
        <v>24</v>
      </c>
      <c r="C595" t="s">
        <v>70</v>
      </c>
      <c r="D595" s="2">
        <v>50</v>
      </c>
      <c r="E595" s="2">
        <v>70</v>
      </c>
      <c r="F595">
        <v>0</v>
      </c>
      <c r="G595">
        <v>0</v>
      </c>
      <c r="H595">
        <f t="shared" si="27"/>
        <v>0</v>
      </c>
      <c r="I595" s="33">
        <v>44941</v>
      </c>
      <c r="J595" t="s">
        <v>6</v>
      </c>
      <c r="K595" s="2">
        <f t="shared" si="28"/>
        <v>0</v>
      </c>
      <c r="L595" s="2">
        <f t="shared" si="29"/>
        <v>0</v>
      </c>
    </row>
    <row r="596" spans="1:12" x14ac:dyDescent="0.25">
      <c r="A596" t="s">
        <v>27</v>
      </c>
      <c r="B596" t="s">
        <v>24</v>
      </c>
      <c r="C596" t="s">
        <v>71</v>
      </c>
      <c r="D596" s="2">
        <v>10</v>
      </c>
      <c r="E596" s="2">
        <v>15</v>
      </c>
      <c r="F596">
        <v>8</v>
      </c>
      <c r="G596">
        <v>8</v>
      </c>
      <c r="H596">
        <f t="shared" si="27"/>
        <v>0</v>
      </c>
      <c r="I596" s="33">
        <v>44941</v>
      </c>
      <c r="J596" t="s">
        <v>6</v>
      </c>
      <c r="K596" s="2">
        <f t="shared" si="28"/>
        <v>0</v>
      </c>
      <c r="L596" s="2">
        <f t="shared" si="29"/>
        <v>0</v>
      </c>
    </row>
    <row r="597" spans="1:12" x14ac:dyDescent="0.25">
      <c r="A597" t="s">
        <v>28</v>
      </c>
      <c r="B597" t="s">
        <v>24</v>
      </c>
      <c r="C597" t="s">
        <v>72</v>
      </c>
      <c r="D597" s="2">
        <v>20</v>
      </c>
      <c r="E597" s="2">
        <v>25</v>
      </c>
      <c r="F597">
        <v>9</v>
      </c>
      <c r="G597">
        <v>7</v>
      </c>
      <c r="H597">
        <f t="shared" si="27"/>
        <v>2</v>
      </c>
      <c r="I597" s="33">
        <v>44941</v>
      </c>
      <c r="J597" t="s">
        <v>6</v>
      </c>
      <c r="K597" s="2">
        <f t="shared" si="28"/>
        <v>50</v>
      </c>
      <c r="L597" s="2">
        <f t="shared" si="29"/>
        <v>10</v>
      </c>
    </row>
    <row r="598" spans="1:12" x14ac:dyDescent="0.25">
      <c r="A598" t="s">
        <v>29</v>
      </c>
      <c r="B598" t="s">
        <v>30</v>
      </c>
      <c r="C598" t="s">
        <v>73</v>
      </c>
      <c r="D598" s="2">
        <v>25</v>
      </c>
      <c r="E598" s="2">
        <v>30</v>
      </c>
      <c r="F598">
        <v>8</v>
      </c>
      <c r="G598">
        <v>8</v>
      </c>
      <c r="H598">
        <f t="shared" si="27"/>
        <v>0</v>
      </c>
      <c r="I598" s="33">
        <v>44941</v>
      </c>
      <c r="J598" t="s">
        <v>6</v>
      </c>
      <c r="K598" s="2">
        <f t="shared" si="28"/>
        <v>0</v>
      </c>
      <c r="L598" s="2">
        <f t="shared" si="29"/>
        <v>0</v>
      </c>
    </row>
    <row r="599" spans="1:12" x14ac:dyDescent="0.25">
      <c r="A599" t="s">
        <v>31</v>
      </c>
      <c r="B599" t="s">
        <v>30</v>
      </c>
      <c r="C599" t="s">
        <v>74</v>
      </c>
      <c r="D599" s="2">
        <v>25</v>
      </c>
      <c r="E599" s="2">
        <v>30</v>
      </c>
      <c r="F599">
        <v>6</v>
      </c>
      <c r="G599">
        <v>6</v>
      </c>
      <c r="H599">
        <f t="shared" si="27"/>
        <v>0</v>
      </c>
      <c r="I599" s="33">
        <v>44941</v>
      </c>
      <c r="J599" t="s">
        <v>6</v>
      </c>
      <c r="K599" s="2">
        <f t="shared" si="28"/>
        <v>0</v>
      </c>
      <c r="L599" s="2">
        <f t="shared" si="29"/>
        <v>0</v>
      </c>
    </row>
    <row r="600" spans="1:12" x14ac:dyDescent="0.25">
      <c r="A600" t="s">
        <v>32</v>
      </c>
      <c r="B600" t="s">
        <v>30</v>
      </c>
      <c r="C600" t="s">
        <v>75</v>
      </c>
      <c r="D600" s="2">
        <v>25</v>
      </c>
      <c r="E600" s="2">
        <v>30</v>
      </c>
      <c r="F600">
        <v>4</v>
      </c>
      <c r="G600">
        <v>4</v>
      </c>
      <c r="H600">
        <f t="shared" si="27"/>
        <v>0</v>
      </c>
      <c r="I600" s="33">
        <v>44941</v>
      </c>
      <c r="J600" t="s">
        <v>6</v>
      </c>
      <c r="K600" s="2">
        <f t="shared" si="28"/>
        <v>0</v>
      </c>
      <c r="L600" s="2">
        <f t="shared" si="29"/>
        <v>0</v>
      </c>
    </row>
    <row r="601" spans="1:12" x14ac:dyDescent="0.25">
      <c r="A601" t="s">
        <v>33</v>
      </c>
      <c r="B601" t="s">
        <v>30</v>
      </c>
      <c r="C601" t="s">
        <v>76</v>
      </c>
      <c r="D601" s="2">
        <v>30</v>
      </c>
      <c r="E601" s="2">
        <v>35</v>
      </c>
      <c r="F601">
        <v>8</v>
      </c>
      <c r="G601">
        <v>5</v>
      </c>
      <c r="H601">
        <f t="shared" si="27"/>
        <v>3</v>
      </c>
      <c r="I601" s="33">
        <v>44941</v>
      </c>
      <c r="J601" t="s">
        <v>6</v>
      </c>
      <c r="K601" s="2">
        <f t="shared" si="28"/>
        <v>105</v>
      </c>
      <c r="L601" s="2">
        <f t="shared" si="29"/>
        <v>15</v>
      </c>
    </row>
    <row r="602" spans="1:12" x14ac:dyDescent="0.25">
      <c r="A602" t="s">
        <v>2</v>
      </c>
      <c r="B602" t="s">
        <v>3</v>
      </c>
      <c r="C602" t="s">
        <v>48</v>
      </c>
      <c r="D602" s="2">
        <v>100</v>
      </c>
      <c r="E602" s="2">
        <v>200</v>
      </c>
      <c r="F602">
        <v>4</v>
      </c>
      <c r="G602">
        <v>1</v>
      </c>
      <c r="H602">
        <f t="shared" si="27"/>
        <v>3</v>
      </c>
      <c r="I602" s="33">
        <v>44942</v>
      </c>
      <c r="J602" t="s">
        <v>10</v>
      </c>
      <c r="K602" s="2">
        <f t="shared" si="28"/>
        <v>600</v>
      </c>
      <c r="L602" s="2">
        <f t="shared" si="29"/>
        <v>300</v>
      </c>
    </row>
    <row r="603" spans="1:12" x14ac:dyDescent="0.25">
      <c r="A603" t="s">
        <v>7</v>
      </c>
      <c r="B603" t="s">
        <v>3</v>
      </c>
      <c r="C603" t="s">
        <v>77</v>
      </c>
      <c r="D603" s="2">
        <v>200</v>
      </c>
      <c r="E603" s="2">
        <v>300</v>
      </c>
      <c r="F603">
        <v>2</v>
      </c>
      <c r="G603">
        <v>1</v>
      </c>
      <c r="H603">
        <f t="shared" si="27"/>
        <v>1</v>
      </c>
      <c r="I603" s="33">
        <v>44942</v>
      </c>
      <c r="J603" t="s">
        <v>10</v>
      </c>
      <c r="K603" s="2">
        <f t="shared" si="28"/>
        <v>300</v>
      </c>
      <c r="L603" s="2">
        <f t="shared" si="29"/>
        <v>100</v>
      </c>
    </row>
    <row r="604" spans="1:12" x14ac:dyDescent="0.25">
      <c r="A604" t="s">
        <v>23</v>
      </c>
      <c r="B604" t="s">
        <v>3</v>
      </c>
      <c r="C604" t="s">
        <v>52</v>
      </c>
      <c r="D604" s="2">
        <v>150</v>
      </c>
      <c r="E604" s="2">
        <v>250</v>
      </c>
      <c r="F604">
        <v>2</v>
      </c>
      <c r="G604">
        <v>1</v>
      </c>
      <c r="H604">
        <f t="shared" si="27"/>
        <v>1</v>
      </c>
      <c r="I604" s="33">
        <v>44942</v>
      </c>
      <c r="J604" t="s">
        <v>10</v>
      </c>
      <c r="K604" s="2">
        <f t="shared" si="28"/>
        <v>250</v>
      </c>
      <c r="L604" s="2">
        <f t="shared" si="29"/>
        <v>100</v>
      </c>
    </row>
    <row r="605" spans="1:12" x14ac:dyDescent="0.25">
      <c r="A605" t="s">
        <v>9</v>
      </c>
      <c r="B605" t="s">
        <v>3</v>
      </c>
      <c r="C605" t="s">
        <v>53</v>
      </c>
      <c r="D605" s="2">
        <v>100</v>
      </c>
      <c r="E605" s="2">
        <v>200</v>
      </c>
      <c r="F605">
        <v>1</v>
      </c>
      <c r="G605">
        <v>1</v>
      </c>
      <c r="H605">
        <f t="shared" si="27"/>
        <v>0</v>
      </c>
      <c r="I605" s="33">
        <v>44942</v>
      </c>
      <c r="J605" t="s">
        <v>10</v>
      </c>
      <c r="K605" s="2">
        <f t="shared" si="28"/>
        <v>0</v>
      </c>
      <c r="L605" s="2">
        <f t="shared" si="29"/>
        <v>0</v>
      </c>
    </row>
    <row r="606" spans="1:12" x14ac:dyDescent="0.25">
      <c r="A606" t="s">
        <v>2</v>
      </c>
      <c r="B606" t="s">
        <v>12</v>
      </c>
      <c r="C606" t="s">
        <v>49</v>
      </c>
      <c r="D606" s="2">
        <v>250</v>
      </c>
      <c r="E606" s="2">
        <v>350</v>
      </c>
      <c r="F606">
        <v>2</v>
      </c>
      <c r="G606">
        <v>1</v>
      </c>
      <c r="H606">
        <f t="shared" si="27"/>
        <v>1</v>
      </c>
      <c r="I606" s="33">
        <v>44942</v>
      </c>
      <c r="J606" t="s">
        <v>10</v>
      </c>
      <c r="K606" s="2">
        <f t="shared" si="28"/>
        <v>350</v>
      </c>
      <c r="L606" s="2">
        <f t="shared" si="29"/>
        <v>100</v>
      </c>
    </row>
    <row r="607" spans="1:12" x14ac:dyDescent="0.25">
      <c r="A607" t="s">
        <v>7</v>
      </c>
      <c r="B607" t="s">
        <v>12</v>
      </c>
      <c r="C607" t="s">
        <v>54</v>
      </c>
      <c r="D607" s="2">
        <v>300</v>
      </c>
      <c r="E607" s="2">
        <v>400</v>
      </c>
      <c r="F607">
        <v>1</v>
      </c>
      <c r="G607">
        <v>0</v>
      </c>
      <c r="H607">
        <f t="shared" si="27"/>
        <v>1</v>
      </c>
      <c r="I607" s="33">
        <v>44942</v>
      </c>
      <c r="J607" t="s">
        <v>10</v>
      </c>
      <c r="K607" s="2">
        <f t="shared" si="28"/>
        <v>400</v>
      </c>
      <c r="L607" s="2">
        <f t="shared" si="29"/>
        <v>100</v>
      </c>
    </row>
    <row r="608" spans="1:12" x14ac:dyDescent="0.25">
      <c r="A608" t="s">
        <v>8</v>
      </c>
      <c r="B608" t="s">
        <v>12</v>
      </c>
      <c r="C608" t="s">
        <v>55</v>
      </c>
      <c r="D608" s="2">
        <v>250</v>
      </c>
      <c r="E608" s="2">
        <v>350</v>
      </c>
      <c r="F608">
        <v>2</v>
      </c>
      <c r="G608">
        <v>2</v>
      </c>
      <c r="H608">
        <f t="shared" si="27"/>
        <v>0</v>
      </c>
      <c r="I608" s="33">
        <v>44942</v>
      </c>
      <c r="J608" t="s">
        <v>10</v>
      </c>
      <c r="K608" s="2">
        <f t="shared" si="28"/>
        <v>0</v>
      </c>
      <c r="L608" s="2">
        <f t="shared" si="29"/>
        <v>0</v>
      </c>
    </row>
    <row r="609" spans="1:12" x14ac:dyDescent="0.25">
      <c r="A609" t="s">
        <v>9</v>
      </c>
      <c r="B609" t="s">
        <v>12</v>
      </c>
      <c r="C609" t="s">
        <v>56</v>
      </c>
      <c r="D609" s="2">
        <v>250</v>
      </c>
      <c r="E609" s="2">
        <v>350</v>
      </c>
      <c r="F609">
        <v>2</v>
      </c>
      <c r="G609">
        <v>1</v>
      </c>
      <c r="H609">
        <f t="shared" si="27"/>
        <v>1</v>
      </c>
      <c r="I609" s="33">
        <v>44942</v>
      </c>
      <c r="J609" t="s">
        <v>10</v>
      </c>
      <c r="K609" s="2">
        <f t="shared" si="28"/>
        <v>350</v>
      </c>
      <c r="L609" s="2">
        <f t="shared" si="29"/>
        <v>100</v>
      </c>
    </row>
    <row r="610" spans="1:12" x14ac:dyDescent="0.25">
      <c r="A610" t="s">
        <v>13</v>
      </c>
      <c r="B610" t="s">
        <v>12</v>
      </c>
      <c r="C610" t="s">
        <v>57</v>
      </c>
      <c r="D610" s="2">
        <v>300</v>
      </c>
      <c r="E610" s="2">
        <v>450</v>
      </c>
      <c r="F610">
        <v>0</v>
      </c>
      <c r="G610">
        <v>0</v>
      </c>
      <c r="H610">
        <f t="shared" si="27"/>
        <v>0</v>
      </c>
      <c r="I610" s="33">
        <v>44942</v>
      </c>
      <c r="J610" t="s">
        <v>10</v>
      </c>
      <c r="K610" s="2">
        <f t="shared" si="28"/>
        <v>0</v>
      </c>
      <c r="L610" s="2">
        <f t="shared" si="29"/>
        <v>0</v>
      </c>
    </row>
    <row r="611" spans="1:12" x14ac:dyDescent="0.25">
      <c r="A611" t="s">
        <v>14</v>
      </c>
      <c r="B611" t="s">
        <v>16</v>
      </c>
      <c r="C611" t="s">
        <v>50</v>
      </c>
      <c r="D611" s="2">
        <v>320</v>
      </c>
      <c r="E611" s="2">
        <v>400</v>
      </c>
      <c r="F611">
        <v>0</v>
      </c>
      <c r="G611">
        <v>0</v>
      </c>
      <c r="H611">
        <f t="shared" si="27"/>
        <v>0</v>
      </c>
      <c r="I611" s="33">
        <v>44942</v>
      </c>
      <c r="J611" t="s">
        <v>10</v>
      </c>
      <c r="K611" s="2">
        <f t="shared" si="28"/>
        <v>0</v>
      </c>
      <c r="L611" s="2">
        <f t="shared" si="29"/>
        <v>0</v>
      </c>
    </row>
    <row r="612" spans="1:12" x14ac:dyDescent="0.25">
      <c r="A612" t="s">
        <v>15</v>
      </c>
      <c r="B612" t="s">
        <v>16</v>
      </c>
      <c r="C612" t="s">
        <v>58</v>
      </c>
      <c r="D612" s="2">
        <v>100</v>
      </c>
      <c r="E612" s="2">
        <v>150</v>
      </c>
      <c r="F612">
        <v>3</v>
      </c>
      <c r="G612">
        <v>3</v>
      </c>
      <c r="H612">
        <f t="shared" si="27"/>
        <v>0</v>
      </c>
      <c r="I612" s="33">
        <v>44942</v>
      </c>
      <c r="J612" t="s">
        <v>10</v>
      </c>
      <c r="K612" s="2">
        <f t="shared" si="28"/>
        <v>0</v>
      </c>
      <c r="L612" s="2">
        <f t="shared" si="29"/>
        <v>0</v>
      </c>
    </row>
    <row r="613" spans="1:12" x14ac:dyDescent="0.25">
      <c r="A613" t="s">
        <v>2</v>
      </c>
      <c r="B613" t="s">
        <v>21</v>
      </c>
      <c r="C613" t="s">
        <v>51</v>
      </c>
      <c r="D613" s="2">
        <v>25</v>
      </c>
      <c r="E613" s="2">
        <v>40</v>
      </c>
      <c r="F613">
        <v>11</v>
      </c>
      <c r="G613">
        <v>3</v>
      </c>
      <c r="H613">
        <f t="shared" si="27"/>
        <v>8</v>
      </c>
      <c r="I613" s="33">
        <v>44942</v>
      </c>
      <c r="J613" t="s">
        <v>10</v>
      </c>
      <c r="K613" s="2">
        <f t="shared" si="28"/>
        <v>320</v>
      </c>
      <c r="L613" s="2">
        <f t="shared" si="29"/>
        <v>120</v>
      </c>
    </row>
    <row r="614" spans="1:12" x14ac:dyDescent="0.25">
      <c r="A614" t="s">
        <v>7</v>
      </c>
      <c r="B614" t="s">
        <v>21</v>
      </c>
      <c r="C614" t="s">
        <v>59</v>
      </c>
      <c r="D614" s="2">
        <v>30</v>
      </c>
      <c r="E614" s="2">
        <v>50</v>
      </c>
      <c r="F614">
        <v>11</v>
      </c>
      <c r="G614">
        <v>5</v>
      </c>
      <c r="H614">
        <f t="shared" si="27"/>
        <v>6</v>
      </c>
      <c r="I614" s="33">
        <v>44942</v>
      </c>
      <c r="J614" t="s">
        <v>10</v>
      </c>
      <c r="K614" s="2">
        <f t="shared" si="28"/>
        <v>300</v>
      </c>
      <c r="L614" s="2">
        <f t="shared" si="29"/>
        <v>120</v>
      </c>
    </row>
    <row r="615" spans="1:12" x14ac:dyDescent="0.25">
      <c r="A615" t="s">
        <v>9</v>
      </c>
      <c r="B615" t="s">
        <v>21</v>
      </c>
      <c r="C615" t="s">
        <v>60</v>
      </c>
      <c r="D615" s="2">
        <v>25</v>
      </c>
      <c r="E615" s="2">
        <v>40</v>
      </c>
      <c r="F615">
        <v>8</v>
      </c>
      <c r="G615">
        <v>4</v>
      </c>
      <c r="H615">
        <f t="shared" si="27"/>
        <v>4</v>
      </c>
      <c r="I615" s="33">
        <v>44942</v>
      </c>
      <c r="J615" t="s">
        <v>10</v>
      </c>
      <c r="K615" s="2">
        <f t="shared" si="28"/>
        <v>160</v>
      </c>
      <c r="L615" s="2">
        <f t="shared" si="29"/>
        <v>60</v>
      </c>
    </row>
    <row r="616" spans="1:12" x14ac:dyDescent="0.25">
      <c r="A616" t="s">
        <v>23</v>
      </c>
      <c r="B616" t="s">
        <v>21</v>
      </c>
      <c r="C616" t="s">
        <v>61</v>
      </c>
      <c r="D616" s="2">
        <v>25</v>
      </c>
      <c r="E616" s="2">
        <v>40</v>
      </c>
      <c r="F616">
        <v>2</v>
      </c>
      <c r="G616">
        <v>0</v>
      </c>
      <c r="H616">
        <f t="shared" si="27"/>
        <v>2</v>
      </c>
      <c r="I616" s="33">
        <v>44942</v>
      </c>
      <c r="J616" t="s">
        <v>10</v>
      </c>
      <c r="K616" s="2">
        <f t="shared" si="28"/>
        <v>80</v>
      </c>
      <c r="L616" s="2">
        <f t="shared" si="29"/>
        <v>30</v>
      </c>
    </row>
    <row r="617" spans="1:12" x14ac:dyDescent="0.25">
      <c r="A617" t="s">
        <v>13</v>
      </c>
      <c r="B617" t="s">
        <v>21</v>
      </c>
      <c r="C617" t="s">
        <v>62</v>
      </c>
      <c r="D617" s="2">
        <v>30</v>
      </c>
      <c r="E617" s="2">
        <v>55</v>
      </c>
      <c r="F617">
        <v>4</v>
      </c>
      <c r="G617">
        <v>4</v>
      </c>
      <c r="H617">
        <f t="shared" si="27"/>
        <v>0</v>
      </c>
      <c r="I617" s="33">
        <v>44942</v>
      </c>
      <c r="J617" t="s">
        <v>10</v>
      </c>
      <c r="K617" s="2">
        <f t="shared" si="28"/>
        <v>0</v>
      </c>
      <c r="L617" s="2">
        <f t="shared" si="29"/>
        <v>0</v>
      </c>
    </row>
    <row r="618" spans="1:12" x14ac:dyDescent="0.25">
      <c r="A618" t="s">
        <v>17</v>
      </c>
      <c r="B618" t="s">
        <v>21</v>
      </c>
      <c r="C618" t="s">
        <v>63</v>
      </c>
      <c r="D618" s="2">
        <v>40</v>
      </c>
      <c r="E618" s="2">
        <v>65</v>
      </c>
      <c r="F618">
        <v>4</v>
      </c>
      <c r="G618">
        <v>2</v>
      </c>
      <c r="H618">
        <f t="shared" si="27"/>
        <v>2</v>
      </c>
      <c r="I618" s="33">
        <v>44942</v>
      </c>
      <c r="J618" t="s">
        <v>10</v>
      </c>
      <c r="K618" s="2">
        <f t="shared" si="28"/>
        <v>130</v>
      </c>
      <c r="L618" s="2">
        <f t="shared" si="29"/>
        <v>50</v>
      </c>
    </row>
    <row r="619" spans="1:12" x14ac:dyDescent="0.25">
      <c r="A619" t="s">
        <v>34</v>
      </c>
      <c r="B619" t="s">
        <v>21</v>
      </c>
      <c r="C619" t="s">
        <v>64</v>
      </c>
      <c r="D619" s="2">
        <v>50</v>
      </c>
      <c r="E619" s="2">
        <v>70</v>
      </c>
      <c r="F619">
        <v>0</v>
      </c>
      <c r="G619">
        <v>0</v>
      </c>
      <c r="H619">
        <f t="shared" si="27"/>
        <v>0</v>
      </c>
      <c r="I619" s="33">
        <v>44942</v>
      </c>
      <c r="J619" t="s">
        <v>10</v>
      </c>
      <c r="K619" s="2">
        <f t="shared" si="28"/>
        <v>0</v>
      </c>
      <c r="L619" s="2">
        <f t="shared" si="29"/>
        <v>0</v>
      </c>
    </row>
    <row r="620" spans="1:12" x14ac:dyDescent="0.25">
      <c r="A620" t="s">
        <v>18</v>
      </c>
      <c r="B620" t="s">
        <v>21</v>
      </c>
      <c r="C620" t="s">
        <v>65</v>
      </c>
      <c r="D620" s="2">
        <v>20</v>
      </c>
      <c r="E620" s="2">
        <v>30</v>
      </c>
      <c r="F620">
        <v>13</v>
      </c>
      <c r="G620">
        <v>11</v>
      </c>
      <c r="H620">
        <f t="shared" si="27"/>
        <v>2</v>
      </c>
      <c r="I620" s="33">
        <v>44942</v>
      </c>
      <c r="J620" t="s">
        <v>10</v>
      </c>
      <c r="K620" s="2">
        <f t="shared" si="28"/>
        <v>60</v>
      </c>
      <c r="L620" s="2">
        <f t="shared" si="29"/>
        <v>20</v>
      </c>
    </row>
    <row r="621" spans="1:12" x14ac:dyDescent="0.25">
      <c r="A621" t="s">
        <v>19</v>
      </c>
      <c r="B621" t="s">
        <v>21</v>
      </c>
      <c r="C621" t="s">
        <v>66</v>
      </c>
      <c r="D621" s="2">
        <v>10</v>
      </c>
      <c r="E621" s="2">
        <v>20</v>
      </c>
      <c r="F621">
        <v>8</v>
      </c>
      <c r="G621">
        <v>7</v>
      </c>
      <c r="H621">
        <f t="shared" si="27"/>
        <v>1</v>
      </c>
      <c r="I621" s="33">
        <v>44942</v>
      </c>
      <c r="J621" t="s">
        <v>10</v>
      </c>
      <c r="K621" s="2">
        <f t="shared" si="28"/>
        <v>20</v>
      </c>
      <c r="L621" s="2">
        <f t="shared" si="29"/>
        <v>10</v>
      </c>
    </row>
    <row r="622" spans="1:12" x14ac:dyDescent="0.25">
      <c r="A622" t="s">
        <v>20</v>
      </c>
      <c r="B622" t="s">
        <v>21</v>
      </c>
      <c r="C622" t="s">
        <v>67</v>
      </c>
      <c r="D622" s="2">
        <v>60</v>
      </c>
      <c r="E622" s="2">
        <v>100</v>
      </c>
      <c r="F622">
        <v>3</v>
      </c>
      <c r="G622">
        <v>3</v>
      </c>
      <c r="H622">
        <f t="shared" si="27"/>
        <v>0</v>
      </c>
      <c r="I622" s="33">
        <v>44942</v>
      </c>
      <c r="J622" t="s">
        <v>10</v>
      </c>
      <c r="K622" s="2">
        <f t="shared" si="28"/>
        <v>0</v>
      </c>
      <c r="L622" s="2">
        <f t="shared" si="29"/>
        <v>0</v>
      </c>
    </row>
    <row r="623" spans="1:12" x14ac:dyDescent="0.25">
      <c r="A623" t="s">
        <v>22</v>
      </c>
      <c r="B623" t="s">
        <v>24</v>
      </c>
      <c r="C623" t="s">
        <v>68</v>
      </c>
      <c r="D623" s="2">
        <v>50</v>
      </c>
      <c r="E623" s="2">
        <v>70</v>
      </c>
      <c r="F623">
        <v>2</v>
      </c>
      <c r="G623">
        <v>2</v>
      </c>
      <c r="H623">
        <f t="shared" si="27"/>
        <v>0</v>
      </c>
      <c r="I623" s="33">
        <v>44942</v>
      </c>
      <c r="J623" t="s">
        <v>10</v>
      </c>
      <c r="K623" s="2">
        <f t="shared" si="28"/>
        <v>0</v>
      </c>
      <c r="L623" s="2">
        <f t="shared" si="29"/>
        <v>0</v>
      </c>
    </row>
    <row r="624" spans="1:12" x14ac:dyDescent="0.25">
      <c r="A624" t="s">
        <v>25</v>
      </c>
      <c r="B624" t="s">
        <v>24</v>
      </c>
      <c r="C624" t="s">
        <v>69</v>
      </c>
      <c r="D624" s="2">
        <v>45</v>
      </c>
      <c r="E624" s="2">
        <v>65</v>
      </c>
      <c r="F624">
        <v>0</v>
      </c>
      <c r="G624">
        <v>0</v>
      </c>
      <c r="H624">
        <f t="shared" si="27"/>
        <v>0</v>
      </c>
      <c r="I624" s="33">
        <v>44942</v>
      </c>
      <c r="J624" t="s">
        <v>10</v>
      </c>
      <c r="K624" s="2">
        <f t="shared" si="28"/>
        <v>0</v>
      </c>
      <c r="L624" s="2">
        <f t="shared" si="29"/>
        <v>0</v>
      </c>
    </row>
    <row r="625" spans="1:12" x14ac:dyDescent="0.25">
      <c r="A625" t="s">
        <v>26</v>
      </c>
      <c r="B625" t="s">
        <v>24</v>
      </c>
      <c r="C625" t="s">
        <v>70</v>
      </c>
      <c r="D625" s="2">
        <v>50</v>
      </c>
      <c r="E625" s="2">
        <v>70</v>
      </c>
      <c r="F625">
        <v>0</v>
      </c>
      <c r="G625">
        <v>0</v>
      </c>
      <c r="H625">
        <f t="shared" si="27"/>
        <v>0</v>
      </c>
      <c r="I625" s="33">
        <v>44942</v>
      </c>
      <c r="J625" t="s">
        <v>10</v>
      </c>
      <c r="K625" s="2">
        <f t="shared" si="28"/>
        <v>0</v>
      </c>
      <c r="L625" s="2">
        <f t="shared" si="29"/>
        <v>0</v>
      </c>
    </row>
    <row r="626" spans="1:12" x14ac:dyDescent="0.25">
      <c r="A626" t="s">
        <v>27</v>
      </c>
      <c r="B626" t="s">
        <v>24</v>
      </c>
      <c r="C626" t="s">
        <v>71</v>
      </c>
      <c r="D626" s="2">
        <v>10</v>
      </c>
      <c r="E626" s="2">
        <v>15</v>
      </c>
      <c r="F626">
        <v>6</v>
      </c>
      <c r="G626">
        <v>0</v>
      </c>
      <c r="H626">
        <f t="shared" si="27"/>
        <v>6</v>
      </c>
      <c r="I626" s="33">
        <v>44942</v>
      </c>
      <c r="J626" t="s">
        <v>10</v>
      </c>
      <c r="K626" s="2">
        <f t="shared" si="28"/>
        <v>90</v>
      </c>
      <c r="L626" s="2">
        <f t="shared" si="29"/>
        <v>30</v>
      </c>
    </row>
    <row r="627" spans="1:12" x14ac:dyDescent="0.25">
      <c r="A627" t="s">
        <v>28</v>
      </c>
      <c r="B627" t="s">
        <v>24</v>
      </c>
      <c r="C627" t="s">
        <v>72</v>
      </c>
      <c r="D627" s="2">
        <v>20</v>
      </c>
      <c r="E627" s="2">
        <v>25</v>
      </c>
      <c r="F627">
        <v>7</v>
      </c>
      <c r="G627">
        <v>6</v>
      </c>
      <c r="H627">
        <f t="shared" si="27"/>
        <v>1</v>
      </c>
      <c r="I627" s="33">
        <v>44942</v>
      </c>
      <c r="J627" t="s">
        <v>10</v>
      </c>
      <c r="K627" s="2">
        <f t="shared" si="28"/>
        <v>25</v>
      </c>
      <c r="L627" s="2">
        <f t="shared" si="29"/>
        <v>5</v>
      </c>
    </row>
    <row r="628" spans="1:12" x14ac:dyDescent="0.25">
      <c r="A628" t="s">
        <v>29</v>
      </c>
      <c r="B628" t="s">
        <v>30</v>
      </c>
      <c r="C628" t="s">
        <v>73</v>
      </c>
      <c r="D628" s="2">
        <v>25</v>
      </c>
      <c r="E628" s="2">
        <v>30</v>
      </c>
      <c r="F628">
        <v>8</v>
      </c>
      <c r="G628">
        <v>7</v>
      </c>
      <c r="H628">
        <f t="shared" si="27"/>
        <v>1</v>
      </c>
      <c r="I628" s="33">
        <v>44942</v>
      </c>
      <c r="J628" t="s">
        <v>10</v>
      </c>
      <c r="K628" s="2">
        <f t="shared" si="28"/>
        <v>30</v>
      </c>
      <c r="L628" s="2">
        <f t="shared" si="29"/>
        <v>5</v>
      </c>
    </row>
    <row r="629" spans="1:12" x14ac:dyDescent="0.25">
      <c r="A629" t="s">
        <v>31</v>
      </c>
      <c r="B629" t="s">
        <v>30</v>
      </c>
      <c r="C629" t="s">
        <v>74</v>
      </c>
      <c r="D629" s="2">
        <v>25</v>
      </c>
      <c r="E629" s="2">
        <v>30</v>
      </c>
      <c r="F629">
        <v>6</v>
      </c>
      <c r="G629">
        <v>3</v>
      </c>
      <c r="H629">
        <f t="shared" si="27"/>
        <v>3</v>
      </c>
      <c r="I629" s="33">
        <v>44942</v>
      </c>
      <c r="J629" t="s">
        <v>10</v>
      </c>
      <c r="K629" s="2">
        <f t="shared" si="28"/>
        <v>90</v>
      </c>
      <c r="L629" s="2">
        <f t="shared" si="29"/>
        <v>15</v>
      </c>
    </row>
    <row r="630" spans="1:12" x14ac:dyDescent="0.25">
      <c r="A630" t="s">
        <v>32</v>
      </c>
      <c r="B630" t="s">
        <v>30</v>
      </c>
      <c r="C630" t="s">
        <v>75</v>
      </c>
      <c r="D630" s="2">
        <v>25</v>
      </c>
      <c r="E630" s="2">
        <v>30</v>
      </c>
      <c r="F630">
        <v>4</v>
      </c>
      <c r="G630">
        <v>3</v>
      </c>
      <c r="H630">
        <f t="shared" si="27"/>
        <v>1</v>
      </c>
      <c r="I630" s="33">
        <v>44942</v>
      </c>
      <c r="J630" t="s">
        <v>10</v>
      </c>
      <c r="K630" s="2">
        <f t="shared" si="28"/>
        <v>30</v>
      </c>
      <c r="L630" s="2">
        <f t="shared" si="29"/>
        <v>5</v>
      </c>
    </row>
    <row r="631" spans="1:12" x14ac:dyDescent="0.25">
      <c r="A631" t="s">
        <v>33</v>
      </c>
      <c r="B631" t="s">
        <v>30</v>
      </c>
      <c r="C631" t="s">
        <v>76</v>
      </c>
      <c r="D631" s="2">
        <v>30</v>
      </c>
      <c r="E631" s="2">
        <v>35</v>
      </c>
      <c r="F631">
        <v>5</v>
      </c>
      <c r="G631">
        <v>3</v>
      </c>
      <c r="H631">
        <f t="shared" si="27"/>
        <v>2</v>
      </c>
      <c r="I631" s="33">
        <v>44942</v>
      </c>
      <c r="J631" t="s">
        <v>10</v>
      </c>
      <c r="K631" s="2">
        <f t="shared" si="28"/>
        <v>70</v>
      </c>
      <c r="L631" s="2">
        <f t="shared" si="29"/>
        <v>10</v>
      </c>
    </row>
    <row r="632" spans="1:12" x14ac:dyDescent="0.25">
      <c r="A632" t="s">
        <v>2</v>
      </c>
      <c r="B632" t="s">
        <v>3</v>
      </c>
      <c r="C632" t="s">
        <v>48</v>
      </c>
      <c r="D632" s="2">
        <v>100</v>
      </c>
      <c r="E632" s="2">
        <v>200</v>
      </c>
      <c r="F632">
        <v>3</v>
      </c>
      <c r="G632">
        <v>2</v>
      </c>
      <c r="H632">
        <f t="shared" si="27"/>
        <v>1</v>
      </c>
      <c r="I632" s="33">
        <v>44944</v>
      </c>
      <c r="J632" t="s">
        <v>35</v>
      </c>
      <c r="K632" s="2">
        <f t="shared" si="28"/>
        <v>200</v>
      </c>
      <c r="L632" s="2">
        <f t="shared" si="29"/>
        <v>100</v>
      </c>
    </row>
    <row r="633" spans="1:12" x14ac:dyDescent="0.25">
      <c r="A633" t="s">
        <v>7</v>
      </c>
      <c r="B633" t="s">
        <v>3</v>
      </c>
      <c r="C633" t="s">
        <v>77</v>
      </c>
      <c r="D633" s="2">
        <v>200</v>
      </c>
      <c r="E633" s="2">
        <v>300</v>
      </c>
      <c r="F633">
        <v>3</v>
      </c>
      <c r="G633">
        <v>1</v>
      </c>
      <c r="H633">
        <f t="shared" si="27"/>
        <v>2</v>
      </c>
      <c r="I633" s="33">
        <v>44944</v>
      </c>
      <c r="J633" t="s">
        <v>35</v>
      </c>
      <c r="K633" s="2">
        <f t="shared" si="28"/>
        <v>600</v>
      </c>
      <c r="L633" s="2">
        <f t="shared" si="29"/>
        <v>200</v>
      </c>
    </row>
    <row r="634" spans="1:12" x14ac:dyDescent="0.25">
      <c r="A634" t="s">
        <v>23</v>
      </c>
      <c r="B634" t="s">
        <v>3</v>
      </c>
      <c r="C634" t="s">
        <v>52</v>
      </c>
      <c r="D634" s="2">
        <v>150</v>
      </c>
      <c r="E634" s="2">
        <v>250</v>
      </c>
      <c r="F634">
        <v>3</v>
      </c>
      <c r="G634">
        <v>1</v>
      </c>
      <c r="H634">
        <f t="shared" si="27"/>
        <v>2</v>
      </c>
      <c r="I634" s="33">
        <v>44944</v>
      </c>
      <c r="J634" t="s">
        <v>35</v>
      </c>
      <c r="K634" s="2">
        <f t="shared" si="28"/>
        <v>500</v>
      </c>
      <c r="L634" s="2">
        <f t="shared" si="29"/>
        <v>200</v>
      </c>
    </row>
    <row r="635" spans="1:12" x14ac:dyDescent="0.25">
      <c r="A635" t="s">
        <v>9</v>
      </c>
      <c r="B635" t="s">
        <v>3</v>
      </c>
      <c r="C635" t="s">
        <v>53</v>
      </c>
      <c r="D635" s="2">
        <v>100</v>
      </c>
      <c r="E635" s="2">
        <v>200</v>
      </c>
      <c r="F635">
        <v>3</v>
      </c>
      <c r="G635">
        <v>2</v>
      </c>
      <c r="H635">
        <f t="shared" si="27"/>
        <v>1</v>
      </c>
      <c r="I635" s="33">
        <v>44944</v>
      </c>
      <c r="J635" t="s">
        <v>35</v>
      </c>
      <c r="K635" s="2">
        <f t="shared" si="28"/>
        <v>200</v>
      </c>
      <c r="L635" s="2">
        <f t="shared" si="29"/>
        <v>100</v>
      </c>
    </row>
    <row r="636" spans="1:12" x14ac:dyDescent="0.25">
      <c r="A636" t="s">
        <v>2</v>
      </c>
      <c r="B636" t="s">
        <v>12</v>
      </c>
      <c r="C636" t="s">
        <v>49</v>
      </c>
      <c r="D636" s="2">
        <v>250</v>
      </c>
      <c r="E636" s="2">
        <v>350</v>
      </c>
      <c r="F636">
        <v>2</v>
      </c>
      <c r="G636">
        <v>1</v>
      </c>
      <c r="H636">
        <f t="shared" si="27"/>
        <v>1</v>
      </c>
      <c r="I636" s="33">
        <v>44944</v>
      </c>
      <c r="J636" t="s">
        <v>35</v>
      </c>
      <c r="K636" s="2">
        <f t="shared" si="28"/>
        <v>350</v>
      </c>
      <c r="L636" s="2">
        <f t="shared" si="29"/>
        <v>100</v>
      </c>
    </row>
    <row r="637" spans="1:12" x14ac:dyDescent="0.25">
      <c r="A637" t="s">
        <v>7</v>
      </c>
      <c r="B637" t="s">
        <v>12</v>
      </c>
      <c r="C637" t="s">
        <v>54</v>
      </c>
      <c r="D637" s="2">
        <v>300</v>
      </c>
      <c r="E637" s="2">
        <v>400</v>
      </c>
      <c r="F637">
        <v>1</v>
      </c>
      <c r="G637">
        <v>1</v>
      </c>
      <c r="H637">
        <f t="shared" si="27"/>
        <v>0</v>
      </c>
      <c r="I637" s="33">
        <v>44944</v>
      </c>
      <c r="J637" t="s">
        <v>35</v>
      </c>
      <c r="K637" s="2">
        <f t="shared" si="28"/>
        <v>0</v>
      </c>
      <c r="L637" s="2">
        <f t="shared" si="29"/>
        <v>0</v>
      </c>
    </row>
    <row r="638" spans="1:12" x14ac:dyDescent="0.25">
      <c r="A638" t="s">
        <v>8</v>
      </c>
      <c r="B638" t="s">
        <v>12</v>
      </c>
      <c r="C638" t="s">
        <v>55</v>
      </c>
      <c r="D638" s="2">
        <v>250</v>
      </c>
      <c r="E638" s="2">
        <v>350</v>
      </c>
      <c r="F638">
        <v>2</v>
      </c>
      <c r="G638">
        <v>2</v>
      </c>
      <c r="H638">
        <f t="shared" si="27"/>
        <v>0</v>
      </c>
      <c r="I638" s="33">
        <v>44944</v>
      </c>
      <c r="J638" t="s">
        <v>35</v>
      </c>
      <c r="K638" s="2">
        <f t="shared" si="28"/>
        <v>0</v>
      </c>
      <c r="L638" s="2">
        <f t="shared" si="29"/>
        <v>0</v>
      </c>
    </row>
    <row r="639" spans="1:12" x14ac:dyDescent="0.25">
      <c r="A639" t="s">
        <v>9</v>
      </c>
      <c r="B639" t="s">
        <v>12</v>
      </c>
      <c r="C639" t="s">
        <v>56</v>
      </c>
      <c r="D639" s="2">
        <v>250</v>
      </c>
      <c r="E639" s="2">
        <v>350</v>
      </c>
      <c r="F639">
        <v>2</v>
      </c>
      <c r="G639">
        <v>1</v>
      </c>
      <c r="H639">
        <f t="shared" si="27"/>
        <v>1</v>
      </c>
      <c r="I639" s="33">
        <v>44944</v>
      </c>
      <c r="J639" t="s">
        <v>35</v>
      </c>
      <c r="K639" s="2">
        <f t="shared" si="28"/>
        <v>350</v>
      </c>
      <c r="L639" s="2">
        <f t="shared" si="29"/>
        <v>100</v>
      </c>
    </row>
    <row r="640" spans="1:12" x14ac:dyDescent="0.25">
      <c r="A640" t="s">
        <v>13</v>
      </c>
      <c r="B640" t="s">
        <v>12</v>
      </c>
      <c r="C640" t="s">
        <v>57</v>
      </c>
      <c r="D640" s="2">
        <v>300</v>
      </c>
      <c r="E640" s="2">
        <v>450</v>
      </c>
      <c r="F640">
        <v>1</v>
      </c>
      <c r="G640">
        <v>1</v>
      </c>
      <c r="H640">
        <f t="shared" si="27"/>
        <v>0</v>
      </c>
      <c r="I640" s="33">
        <v>44944</v>
      </c>
      <c r="J640" t="s">
        <v>35</v>
      </c>
      <c r="K640" s="2">
        <f t="shared" si="28"/>
        <v>0</v>
      </c>
      <c r="L640" s="2">
        <f t="shared" si="29"/>
        <v>0</v>
      </c>
    </row>
    <row r="641" spans="1:12" x14ac:dyDescent="0.25">
      <c r="A641" t="s">
        <v>14</v>
      </c>
      <c r="B641" t="s">
        <v>16</v>
      </c>
      <c r="C641" t="s">
        <v>50</v>
      </c>
      <c r="D641" s="2">
        <v>320</v>
      </c>
      <c r="E641" s="2">
        <v>400</v>
      </c>
      <c r="F641">
        <v>0</v>
      </c>
      <c r="G641">
        <v>0</v>
      </c>
      <c r="H641">
        <f t="shared" si="27"/>
        <v>0</v>
      </c>
      <c r="I641" s="33">
        <v>44944</v>
      </c>
      <c r="J641" t="s">
        <v>35</v>
      </c>
      <c r="K641" s="2">
        <f t="shared" si="28"/>
        <v>0</v>
      </c>
      <c r="L641" s="2">
        <f t="shared" si="29"/>
        <v>0</v>
      </c>
    </row>
    <row r="642" spans="1:12" x14ac:dyDescent="0.25">
      <c r="A642" t="s">
        <v>15</v>
      </c>
      <c r="B642" t="s">
        <v>16</v>
      </c>
      <c r="C642" t="s">
        <v>58</v>
      </c>
      <c r="D642" s="2">
        <v>100</v>
      </c>
      <c r="E642" s="2">
        <v>150</v>
      </c>
      <c r="F642">
        <v>3</v>
      </c>
      <c r="G642">
        <v>3</v>
      </c>
      <c r="H642">
        <f t="shared" ref="H642:H705" si="30">F642-G642</f>
        <v>0</v>
      </c>
      <c r="I642" s="33">
        <v>44944</v>
      </c>
      <c r="J642" t="s">
        <v>35</v>
      </c>
      <c r="K642" s="2">
        <f t="shared" ref="K642:K705" si="31">E642*H642</f>
        <v>0</v>
      </c>
      <c r="L642" s="2">
        <f t="shared" ref="L642:L705" si="32">(E642-D642)*H642</f>
        <v>0</v>
      </c>
    </row>
    <row r="643" spans="1:12" x14ac:dyDescent="0.25">
      <c r="A643" t="s">
        <v>2</v>
      </c>
      <c r="B643" t="s">
        <v>21</v>
      </c>
      <c r="C643" t="s">
        <v>51</v>
      </c>
      <c r="D643" s="2">
        <v>25</v>
      </c>
      <c r="E643" s="2">
        <v>40</v>
      </c>
      <c r="F643">
        <v>13</v>
      </c>
      <c r="G643">
        <v>13</v>
      </c>
      <c r="H643">
        <f t="shared" si="30"/>
        <v>0</v>
      </c>
      <c r="I643" s="33">
        <v>44944</v>
      </c>
      <c r="J643" t="s">
        <v>35</v>
      </c>
      <c r="K643" s="2">
        <f t="shared" si="31"/>
        <v>0</v>
      </c>
      <c r="L643" s="2">
        <f t="shared" si="32"/>
        <v>0</v>
      </c>
    </row>
    <row r="644" spans="1:12" x14ac:dyDescent="0.25">
      <c r="A644" t="s">
        <v>7</v>
      </c>
      <c r="B644" t="s">
        <v>21</v>
      </c>
      <c r="C644" t="s">
        <v>59</v>
      </c>
      <c r="D644" s="2">
        <v>30</v>
      </c>
      <c r="E644" s="2">
        <v>50</v>
      </c>
      <c r="F644">
        <v>15</v>
      </c>
      <c r="G644">
        <v>12</v>
      </c>
      <c r="H644">
        <f t="shared" si="30"/>
        <v>3</v>
      </c>
      <c r="I644" s="33">
        <v>44944</v>
      </c>
      <c r="J644" t="s">
        <v>35</v>
      </c>
      <c r="K644" s="2">
        <f t="shared" si="31"/>
        <v>150</v>
      </c>
      <c r="L644" s="2">
        <f t="shared" si="32"/>
        <v>60</v>
      </c>
    </row>
    <row r="645" spans="1:12" x14ac:dyDescent="0.25">
      <c r="A645" t="s">
        <v>9</v>
      </c>
      <c r="B645" t="s">
        <v>21</v>
      </c>
      <c r="C645" t="s">
        <v>60</v>
      </c>
      <c r="D645" s="2">
        <v>25</v>
      </c>
      <c r="E645" s="2">
        <v>40</v>
      </c>
      <c r="F645">
        <v>14</v>
      </c>
      <c r="G645">
        <v>14</v>
      </c>
      <c r="H645">
        <f t="shared" si="30"/>
        <v>0</v>
      </c>
      <c r="I645" s="33">
        <v>44944</v>
      </c>
      <c r="J645" t="s">
        <v>35</v>
      </c>
      <c r="K645" s="2">
        <f t="shared" si="31"/>
        <v>0</v>
      </c>
      <c r="L645" s="2">
        <f t="shared" si="32"/>
        <v>0</v>
      </c>
    </row>
    <row r="646" spans="1:12" x14ac:dyDescent="0.25">
      <c r="A646" t="s">
        <v>23</v>
      </c>
      <c r="B646" t="s">
        <v>21</v>
      </c>
      <c r="C646" t="s">
        <v>61</v>
      </c>
      <c r="D646" s="2">
        <v>25</v>
      </c>
      <c r="E646" s="2">
        <v>40</v>
      </c>
      <c r="F646">
        <v>10</v>
      </c>
      <c r="G646">
        <v>10</v>
      </c>
      <c r="H646">
        <f t="shared" si="30"/>
        <v>0</v>
      </c>
      <c r="I646" s="33">
        <v>44944</v>
      </c>
      <c r="J646" t="s">
        <v>35</v>
      </c>
      <c r="K646" s="2">
        <f t="shared" si="31"/>
        <v>0</v>
      </c>
      <c r="L646" s="2">
        <f t="shared" si="32"/>
        <v>0</v>
      </c>
    </row>
    <row r="647" spans="1:12" x14ac:dyDescent="0.25">
      <c r="A647" t="s">
        <v>13</v>
      </c>
      <c r="B647" t="s">
        <v>21</v>
      </c>
      <c r="C647" t="s">
        <v>62</v>
      </c>
      <c r="D647" s="2">
        <v>30</v>
      </c>
      <c r="E647" s="2">
        <v>55</v>
      </c>
      <c r="F647">
        <v>4</v>
      </c>
      <c r="G647">
        <v>3</v>
      </c>
      <c r="H647">
        <f t="shared" si="30"/>
        <v>1</v>
      </c>
      <c r="I647" s="33">
        <v>44944</v>
      </c>
      <c r="J647" t="s">
        <v>35</v>
      </c>
      <c r="K647" s="2">
        <f t="shared" si="31"/>
        <v>55</v>
      </c>
      <c r="L647" s="2">
        <f t="shared" si="32"/>
        <v>25</v>
      </c>
    </row>
    <row r="648" spans="1:12" x14ac:dyDescent="0.25">
      <c r="A648" t="s">
        <v>17</v>
      </c>
      <c r="B648" t="s">
        <v>21</v>
      </c>
      <c r="C648" t="s">
        <v>63</v>
      </c>
      <c r="D648" s="2">
        <v>40</v>
      </c>
      <c r="E648" s="2">
        <v>65</v>
      </c>
      <c r="F648">
        <v>22</v>
      </c>
      <c r="G648">
        <v>22</v>
      </c>
      <c r="H648">
        <f t="shared" si="30"/>
        <v>0</v>
      </c>
      <c r="I648" s="33">
        <v>44944</v>
      </c>
      <c r="J648" t="s">
        <v>35</v>
      </c>
      <c r="K648" s="2">
        <f t="shared" si="31"/>
        <v>0</v>
      </c>
      <c r="L648" s="2">
        <f t="shared" si="32"/>
        <v>0</v>
      </c>
    </row>
    <row r="649" spans="1:12" x14ac:dyDescent="0.25">
      <c r="A649" t="s">
        <v>34</v>
      </c>
      <c r="B649" t="s">
        <v>21</v>
      </c>
      <c r="C649" t="s">
        <v>64</v>
      </c>
      <c r="D649" s="2">
        <v>50</v>
      </c>
      <c r="E649" s="2">
        <v>70</v>
      </c>
      <c r="F649">
        <v>0</v>
      </c>
      <c r="G649">
        <v>0</v>
      </c>
      <c r="H649">
        <f t="shared" si="30"/>
        <v>0</v>
      </c>
      <c r="I649" s="33">
        <v>44944</v>
      </c>
      <c r="J649" t="s">
        <v>35</v>
      </c>
      <c r="K649" s="2">
        <f t="shared" si="31"/>
        <v>0</v>
      </c>
      <c r="L649" s="2">
        <f t="shared" si="32"/>
        <v>0</v>
      </c>
    </row>
    <row r="650" spans="1:12" x14ac:dyDescent="0.25">
      <c r="A650" t="s">
        <v>18</v>
      </c>
      <c r="B650" t="s">
        <v>21</v>
      </c>
      <c r="C650" t="s">
        <v>65</v>
      </c>
      <c r="D650" s="2">
        <v>20</v>
      </c>
      <c r="E650" s="2">
        <v>30</v>
      </c>
      <c r="F650">
        <v>11</v>
      </c>
      <c r="G650">
        <v>11</v>
      </c>
      <c r="H650">
        <f t="shared" si="30"/>
        <v>0</v>
      </c>
      <c r="I650" s="33">
        <v>44944</v>
      </c>
      <c r="J650" t="s">
        <v>35</v>
      </c>
      <c r="K650" s="2">
        <f t="shared" si="31"/>
        <v>0</v>
      </c>
      <c r="L650" s="2">
        <f t="shared" si="32"/>
        <v>0</v>
      </c>
    </row>
    <row r="651" spans="1:12" x14ac:dyDescent="0.25">
      <c r="A651" t="s">
        <v>19</v>
      </c>
      <c r="B651" t="s">
        <v>21</v>
      </c>
      <c r="C651" t="s">
        <v>66</v>
      </c>
      <c r="D651" s="2">
        <v>10</v>
      </c>
      <c r="E651" s="2">
        <v>20</v>
      </c>
      <c r="F651">
        <v>7</v>
      </c>
      <c r="G651">
        <v>7</v>
      </c>
      <c r="H651">
        <f t="shared" si="30"/>
        <v>0</v>
      </c>
      <c r="I651" s="33">
        <v>44944</v>
      </c>
      <c r="J651" t="s">
        <v>35</v>
      </c>
      <c r="K651" s="2">
        <f t="shared" si="31"/>
        <v>0</v>
      </c>
      <c r="L651" s="2">
        <f t="shared" si="32"/>
        <v>0</v>
      </c>
    </row>
    <row r="652" spans="1:12" x14ac:dyDescent="0.25">
      <c r="A652" t="s">
        <v>20</v>
      </c>
      <c r="B652" t="s">
        <v>21</v>
      </c>
      <c r="C652" t="s">
        <v>67</v>
      </c>
      <c r="D652" s="2">
        <v>60</v>
      </c>
      <c r="E652" s="2">
        <v>100</v>
      </c>
      <c r="F652">
        <v>3</v>
      </c>
      <c r="G652">
        <v>3</v>
      </c>
      <c r="H652">
        <f t="shared" si="30"/>
        <v>0</v>
      </c>
      <c r="I652" s="33">
        <v>44944</v>
      </c>
      <c r="J652" t="s">
        <v>35</v>
      </c>
      <c r="K652" s="2">
        <f t="shared" si="31"/>
        <v>0</v>
      </c>
      <c r="L652" s="2">
        <f t="shared" si="32"/>
        <v>0</v>
      </c>
    </row>
    <row r="653" spans="1:12" x14ac:dyDescent="0.25">
      <c r="A653" t="s">
        <v>22</v>
      </c>
      <c r="B653" t="s">
        <v>24</v>
      </c>
      <c r="C653" t="s">
        <v>68</v>
      </c>
      <c r="D653" s="2">
        <v>50</v>
      </c>
      <c r="E653" s="2">
        <v>70</v>
      </c>
      <c r="F653">
        <v>4</v>
      </c>
      <c r="G653">
        <v>4</v>
      </c>
      <c r="H653">
        <f t="shared" si="30"/>
        <v>0</v>
      </c>
      <c r="I653" s="33">
        <v>44944</v>
      </c>
      <c r="J653" t="s">
        <v>35</v>
      </c>
      <c r="K653" s="2">
        <f t="shared" si="31"/>
        <v>0</v>
      </c>
      <c r="L653" s="2">
        <f t="shared" si="32"/>
        <v>0</v>
      </c>
    </row>
    <row r="654" spans="1:12" x14ac:dyDescent="0.25">
      <c r="A654" t="s">
        <v>25</v>
      </c>
      <c r="B654" t="s">
        <v>24</v>
      </c>
      <c r="C654" t="s">
        <v>69</v>
      </c>
      <c r="D654" s="2">
        <v>45</v>
      </c>
      <c r="E654" s="2">
        <v>65</v>
      </c>
      <c r="F654">
        <v>0</v>
      </c>
      <c r="G654">
        <v>0</v>
      </c>
      <c r="H654">
        <f t="shared" si="30"/>
        <v>0</v>
      </c>
      <c r="I654" s="33">
        <v>44944</v>
      </c>
      <c r="J654" t="s">
        <v>35</v>
      </c>
      <c r="K654" s="2">
        <f t="shared" si="31"/>
        <v>0</v>
      </c>
      <c r="L654" s="2">
        <f t="shared" si="32"/>
        <v>0</v>
      </c>
    </row>
    <row r="655" spans="1:12" x14ac:dyDescent="0.25">
      <c r="A655" t="s">
        <v>26</v>
      </c>
      <c r="B655" t="s">
        <v>24</v>
      </c>
      <c r="C655" t="s">
        <v>70</v>
      </c>
      <c r="D655" s="2">
        <v>50</v>
      </c>
      <c r="E655" s="2">
        <v>70</v>
      </c>
      <c r="F655">
        <v>0</v>
      </c>
      <c r="G655">
        <v>0</v>
      </c>
      <c r="H655">
        <f t="shared" si="30"/>
        <v>0</v>
      </c>
      <c r="I655" s="33">
        <v>44944</v>
      </c>
      <c r="J655" t="s">
        <v>35</v>
      </c>
      <c r="K655" s="2">
        <f t="shared" si="31"/>
        <v>0</v>
      </c>
      <c r="L655" s="2">
        <f t="shared" si="32"/>
        <v>0</v>
      </c>
    </row>
    <row r="656" spans="1:12" x14ac:dyDescent="0.25">
      <c r="A656" t="s">
        <v>27</v>
      </c>
      <c r="B656" t="s">
        <v>24</v>
      </c>
      <c r="C656" t="s">
        <v>71</v>
      </c>
      <c r="D656" s="2">
        <v>10</v>
      </c>
      <c r="E656" s="2">
        <v>15</v>
      </c>
      <c r="F656">
        <v>9</v>
      </c>
      <c r="G656">
        <v>4</v>
      </c>
      <c r="H656">
        <f t="shared" si="30"/>
        <v>5</v>
      </c>
      <c r="I656" s="33">
        <v>44944</v>
      </c>
      <c r="J656" t="s">
        <v>35</v>
      </c>
      <c r="K656" s="2">
        <f t="shared" si="31"/>
        <v>75</v>
      </c>
      <c r="L656" s="2">
        <f t="shared" si="32"/>
        <v>25</v>
      </c>
    </row>
    <row r="657" spans="1:12" x14ac:dyDescent="0.25">
      <c r="A657" t="s">
        <v>28</v>
      </c>
      <c r="B657" t="s">
        <v>24</v>
      </c>
      <c r="C657" t="s">
        <v>72</v>
      </c>
      <c r="D657" s="2">
        <v>20</v>
      </c>
      <c r="E657" s="2">
        <v>25</v>
      </c>
      <c r="F657">
        <v>11</v>
      </c>
      <c r="G657">
        <v>11</v>
      </c>
      <c r="H657">
        <f t="shared" si="30"/>
        <v>0</v>
      </c>
      <c r="I657" s="33">
        <v>44944</v>
      </c>
      <c r="J657" t="s">
        <v>35</v>
      </c>
      <c r="K657" s="2">
        <f t="shared" si="31"/>
        <v>0</v>
      </c>
      <c r="L657" s="2">
        <f t="shared" si="32"/>
        <v>0</v>
      </c>
    </row>
    <row r="658" spans="1:12" x14ac:dyDescent="0.25">
      <c r="A658" t="s">
        <v>29</v>
      </c>
      <c r="B658" t="s">
        <v>30</v>
      </c>
      <c r="C658" t="s">
        <v>73</v>
      </c>
      <c r="D658" s="2">
        <v>25</v>
      </c>
      <c r="E658" s="2">
        <v>30</v>
      </c>
      <c r="F658">
        <v>17</v>
      </c>
      <c r="G658">
        <v>10</v>
      </c>
      <c r="H658">
        <f t="shared" si="30"/>
        <v>7</v>
      </c>
      <c r="I658" s="33">
        <v>44944</v>
      </c>
      <c r="J658" t="s">
        <v>35</v>
      </c>
      <c r="K658" s="2">
        <f t="shared" si="31"/>
        <v>210</v>
      </c>
      <c r="L658" s="2">
        <f t="shared" si="32"/>
        <v>35</v>
      </c>
    </row>
    <row r="659" spans="1:12" x14ac:dyDescent="0.25">
      <c r="A659" t="s">
        <v>31</v>
      </c>
      <c r="B659" t="s">
        <v>30</v>
      </c>
      <c r="C659" t="s">
        <v>74</v>
      </c>
      <c r="D659" s="2">
        <v>25</v>
      </c>
      <c r="E659" s="2">
        <v>30</v>
      </c>
      <c r="F659">
        <v>3</v>
      </c>
      <c r="G659">
        <v>1</v>
      </c>
      <c r="H659">
        <f t="shared" si="30"/>
        <v>2</v>
      </c>
      <c r="I659" s="33">
        <v>44944</v>
      </c>
      <c r="J659" t="s">
        <v>35</v>
      </c>
      <c r="K659" s="2">
        <f t="shared" si="31"/>
        <v>60</v>
      </c>
      <c r="L659" s="2">
        <f t="shared" si="32"/>
        <v>10</v>
      </c>
    </row>
    <row r="660" spans="1:12" x14ac:dyDescent="0.25">
      <c r="A660" t="s">
        <v>32</v>
      </c>
      <c r="B660" t="s">
        <v>30</v>
      </c>
      <c r="C660" t="s">
        <v>75</v>
      </c>
      <c r="D660" s="2">
        <v>25</v>
      </c>
      <c r="E660" s="2">
        <v>30</v>
      </c>
      <c r="F660">
        <v>8</v>
      </c>
      <c r="G660">
        <v>1</v>
      </c>
      <c r="H660">
        <f t="shared" si="30"/>
        <v>7</v>
      </c>
      <c r="I660" s="33">
        <v>44944</v>
      </c>
      <c r="J660" t="s">
        <v>35</v>
      </c>
      <c r="K660" s="2">
        <f t="shared" si="31"/>
        <v>210</v>
      </c>
      <c r="L660" s="2">
        <f t="shared" si="32"/>
        <v>35</v>
      </c>
    </row>
    <row r="661" spans="1:12" x14ac:dyDescent="0.25">
      <c r="A661" t="s">
        <v>33</v>
      </c>
      <c r="B661" t="s">
        <v>30</v>
      </c>
      <c r="C661" t="s">
        <v>76</v>
      </c>
      <c r="D661" s="2">
        <v>30</v>
      </c>
      <c r="E661" s="2">
        <v>35</v>
      </c>
      <c r="F661">
        <v>13</v>
      </c>
      <c r="G661">
        <v>10</v>
      </c>
      <c r="H661">
        <f t="shared" si="30"/>
        <v>3</v>
      </c>
      <c r="I661" s="33">
        <v>44944</v>
      </c>
      <c r="J661" t="s">
        <v>35</v>
      </c>
      <c r="K661" s="2">
        <f t="shared" si="31"/>
        <v>105</v>
      </c>
      <c r="L661" s="2">
        <f t="shared" si="32"/>
        <v>15</v>
      </c>
    </row>
    <row r="662" spans="1:12" x14ac:dyDescent="0.25">
      <c r="A662" t="s">
        <v>2</v>
      </c>
      <c r="B662" t="s">
        <v>3</v>
      </c>
      <c r="C662" t="s">
        <v>48</v>
      </c>
      <c r="D662" s="2">
        <v>100</v>
      </c>
      <c r="E662" s="2">
        <v>200</v>
      </c>
      <c r="F662">
        <v>3</v>
      </c>
      <c r="G662">
        <v>3</v>
      </c>
      <c r="H662">
        <f t="shared" si="30"/>
        <v>0</v>
      </c>
      <c r="I662" s="33">
        <v>44945</v>
      </c>
      <c r="J662" t="s">
        <v>36</v>
      </c>
      <c r="K662" s="2">
        <f t="shared" si="31"/>
        <v>0</v>
      </c>
      <c r="L662" s="2">
        <f t="shared" si="32"/>
        <v>0</v>
      </c>
    </row>
    <row r="663" spans="1:12" x14ac:dyDescent="0.25">
      <c r="A663" t="s">
        <v>7</v>
      </c>
      <c r="B663" t="s">
        <v>3</v>
      </c>
      <c r="C663" t="s">
        <v>77</v>
      </c>
      <c r="D663" s="2">
        <v>200</v>
      </c>
      <c r="E663" s="2">
        <v>300</v>
      </c>
      <c r="F663">
        <v>3</v>
      </c>
      <c r="G663">
        <v>3</v>
      </c>
      <c r="H663">
        <f t="shared" si="30"/>
        <v>0</v>
      </c>
      <c r="I663" s="33">
        <v>44945</v>
      </c>
      <c r="J663" t="s">
        <v>36</v>
      </c>
      <c r="K663" s="2">
        <f t="shared" si="31"/>
        <v>0</v>
      </c>
      <c r="L663" s="2">
        <f t="shared" si="32"/>
        <v>0</v>
      </c>
    </row>
    <row r="664" spans="1:12" x14ac:dyDescent="0.25">
      <c r="A664" t="s">
        <v>23</v>
      </c>
      <c r="B664" t="s">
        <v>3</v>
      </c>
      <c r="C664" t="s">
        <v>52</v>
      </c>
      <c r="D664" s="2">
        <v>150</v>
      </c>
      <c r="E664" s="2">
        <v>250</v>
      </c>
      <c r="F664">
        <v>3</v>
      </c>
      <c r="G664">
        <v>2</v>
      </c>
      <c r="H664">
        <f t="shared" si="30"/>
        <v>1</v>
      </c>
      <c r="I664" s="33">
        <v>44945</v>
      </c>
      <c r="J664" t="s">
        <v>36</v>
      </c>
      <c r="K664" s="2">
        <f t="shared" si="31"/>
        <v>250</v>
      </c>
      <c r="L664" s="2">
        <f t="shared" si="32"/>
        <v>100</v>
      </c>
    </row>
    <row r="665" spans="1:12" x14ac:dyDescent="0.25">
      <c r="A665" t="s">
        <v>9</v>
      </c>
      <c r="B665" t="s">
        <v>3</v>
      </c>
      <c r="C665" t="s">
        <v>53</v>
      </c>
      <c r="D665" s="2">
        <v>100</v>
      </c>
      <c r="E665" s="2">
        <v>200</v>
      </c>
      <c r="F665">
        <v>2</v>
      </c>
      <c r="G665">
        <v>0</v>
      </c>
      <c r="H665">
        <f t="shared" si="30"/>
        <v>2</v>
      </c>
      <c r="I665" s="33">
        <v>44945</v>
      </c>
      <c r="J665" t="s">
        <v>36</v>
      </c>
      <c r="K665" s="2">
        <f t="shared" si="31"/>
        <v>400</v>
      </c>
      <c r="L665" s="2">
        <f t="shared" si="32"/>
        <v>200</v>
      </c>
    </row>
    <row r="666" spans="1:12" x14ac:dyDescent="0.25">
      <c r="A666" t="s">
        <v>2</v>
      </c>
      <c r="B666" t="s">
        <v>12</v>
      </c>
      <c r="C666" t="s">
        <v>49</v>
      </c>
      <c r="D666" s="2">
        <v>250</v>
      </c>
      <c r="E666" s="2">
        <v>350</v>
      </c>
      <c r="F666">
        <v>3</v>
      </c>
      <c r="G666">
        <v>3</v>
      </c>
      <c r="H666">
        <f t="shared" si="30"/>
        <v>0</v>
      </c>
      <c r="I666" s="33">
        <v>44945</v>
      </c>
      <c r="J666" t="s">
        <v>36</v>
      </c>
      <c r="K666" s="2">
        <f t="shared" si="31"/>
        <v>0</v>
      </c>
      <c r="L666" s="2">
        <f t="shared" si="32"/>
        <v>0</v>
      </c>
    </row>
    <row r="667" spans="1:12" x14ac:dyDescent="0.25">
      <c r="A667" t="s">
        <v>7</v>
      </c>
      <c r="B667" t="s">
        <v>12</v>
      </c>
      <c r="C667" t="s">
        <v>54</v>
      </c>
      <c r="D667" s="2">
        <v>300</v>
      </c>
      <c r="E667" s="2">
        <v>400</v>
      </c>
      <c r="F667">
        <v>1</v>
      </c>
      <c r="G667">
        <v>0</v>
      </c>
      <c r="H667">
        <f t="shared" si="30"/>
        <v>1</v>
      </c>
      <c r="I667" s="33">
        <v>44945</v>
      </c>
      <c r="J667" t="s">
        <v>36</v>
      </c>
      <c r="K667" s="2">
        <f t="shared" si="31"/>
        <v>400</v>
      </c>
      <c r="L667" s="2">
        <f t="shared" si="32"/>
        <v>100</v>
      </c>
    </row>
    <row r="668" spans="1:12" x14ac:dyDescent="0.25">
      <c r="A668" t="s">
        <v>8</v>
      </c>
      <c r="B668" t="s">
        <v>12</v>
      </c>
      <c r="C668" t="s">
        <v>55</v>
      </c>
      <c r="D668" s="2">
        <v>250</v>
      </c>
      <c r="E668" s="2">
        <v>350</v>
      </c>
      <c r="F668">
        <v>3</v>
      </c>
      <c r="G668">
        <v>2</v>
      </c>
      <c r="H668">
        <f t="shared" si="30"/>
        <v>1</v>
      </c>
      <c r="I668" s="33">
        <v>44945</v>
      </c>
      <c r="J668" t="s">
        <v>36</v>
      </c>
      <c r="K668" s="2">
        <f t="shared" si="31"/>
        <v>350</v>
      </c>
      <c r="L668" s="2">
        <f t="shared" si="32"/>
        <v>100</v>
      </c>
    </row>
    <row r="669" spans="1:12" x14ac:dyDescent="0.25">
      <c r="A669" t="s">
        <v>9</v>
      </c>
      <c r="B669" t="s">
        <v>12</v>
      </c>
      <c r="C669" t="s">
        <v>56</v>
      </c>
      <c r="D669" s="2">
        <v>250</v>
      </c>
      <c r="E669" s="2">
        <v>350</v>
      </c>
      <c r="F669">
        <v>2</v>
      </c>
      <c r="G669">
        <v>2</v>
      </c>
      <c r="H669">
        <f t="shared" si="30"/>
        <v>0</v>
      </c>
      <c r="I669" s="33">
        <v>44945</v>
      </c>
      <c r="J669" t="s">
        <v>36</v>
      </c>
      <c r="K669" s="2">
        <f t="shared" si="31"/>
        <v>0</v>
      </c>
      <c r="L669" s="2">
        <f t="shared" si="32"/>
        <v>0</v>
      </c>
    </row>
    <row r="670" spans="1:12" x14ac:dyDescent="0.25">
      <c r="A670" t="s">
        <v>13</v>
      </c>
      <c r="B670" t="s">
        <v>12</v>
      </c>
      <c r="C670" t="s">
        <v>57</v>
      </c>
      <c r="D670" s="2">
        <v>300</v>
      </c>
      <c r="E670" s="2">
        <v>450</v>
      </c>
      <c r="F670">
        <v>1</v>
      </c>
      <c r="G670">
        <v>1</v>
      </c>
      <c r="H670">
        <f t="shared" si="30"/>
        <v>0</v>
      </c>
      <c r="I670" s="33">
        <v>44945</v>
      </c>
      <c r="J670" t="s">
        <v>36</v>
      </c>
      <c r="K670" s="2">
        <f t="shared" si="31"/>
        <v>0</v>
      </c>
      <c r="L670" s="2">
        <f t="shared" si="32"/>
        <v>0</v>
      </c>
    </row>
    <row r="671" spans="1:12" x14ac:dyDescent="0.25">
      <c r="A671" t="s">
        <v>14</v>
      </c>
      <c r="B671" t="s">
        <v>16</v>
      </c>
      <c r="C671" t="s">
        <v>50</v>
      </c>
      <c r="D671" s="2">
        <v>320</v>
      </c>
      <c r="E671" s="2">
        <v>400</v>
      </c>
      <c r="F671">
        <v>0</v>
      </c>
      <c r="G671">
        <v>0</v>
      </c>
      <c r="H671">
        <f t="shared" si="30"/>
        <v>0</v>
      </c>
      <c r="I671" s="33">
        <v>44945</v>
      </c>
      <c r="J671" t="s">
        <v>36</v>
      </c>
      <c r="K671" s="2">
        <f t="shared" si="31"/>
        <v>0</v>
      </c>
      <c r="L671" s="2">
        <f t="shared" si="32"/>
        <v>0</v>
      </c>
    </row>
    <row r="672" spans="1:12" x14ac:dyDescent="0.25">
      <c r="A672" t="s">
        <v>15</v>
      </c>
      <c r="B672" t="s">
        <v>16</v>
      </c>
      <c r="C672" t="s">
        <v>58</v>
      </c>
      <c r="D672" s="2">
        <v>100</v>
      </c>
      <c r="E672" s="2">
        <v>150</v>
      </c>
      <c r="F672">
        <v>3</v>
      </c>
      <c r="G672">
        <v>3</v>
      </c>
      <c r="H672">
        <f t="shared" si="30"/>
        <v>0</v>
      </c>
      <c r="I672" s="33">
        <v>44945</v>
      </c>
      <c r="J672" t="s">
        <v>36</v>
      </c>
      <c r="K672" s="2">
        <f t="shared" si="31"/>
        <v>0</v>
      </c>
      <c r="L672" s="2">
        <f t="shared" si="32"/>
        <v>0</v>
      </c>
    </row>
    <row r="673" spans="1:12" x14ac:dyDescent="0.25">
      <c r="A673" t="s">
        <v>2</v>
      </c>
      <c r="B673" t="s">
        <v>21</v>
      </c>
      <c r="C673" t="s">
        <v>51</v>
      </c>
      <c r="D673" s="2">
        <v>25</v>
      </c>
      <c r="E673" s="2">
        <v>40</v>
      </c>
      <c r="F673">
        <v>13</v>
      </c>
      <c r="G673">
        <v>6</v>
      </c>
      <c r="H673">
        <f t="shared" si="30"/>
        <v>7</v>
      </c>
      <c r="I673" s="33">
        <v>44945</v>
      </c>
      <c r="J673" t="s">
        <v>36</v>
      </c>
      <c r="K673" s="2">
        <f t="shared" si="31"/>
        <v>280</v>
      </c>
      <c r="L673" s="2">
        <f t="shared" si="32"/>
        <v>105</v>
      </c>
    </row>
    <row r="674" spans="1:12" x14ac:dyDescent="0.25">
      <c r="A674" t="s">
        <v>7</v>
      </c>
      <c r="B674" t="s">
        <v>21</v>
      </c>
      <c r="C674" t="s">
        <v>59</v>
      </c>
      <c r="D674" s="2">
        <v>30</v>
      </c>
      <c r="E674" s="2">
        <v>50</v>
      </c>
      <c r="F674">
        <v>12</v>
      </c>
      <c r="G674">
        <v>11</v>
      </c>
      <c r="H674">
        <f t="shared" si="30"/>
        <v>1</v>
      </c>
      <c r="I674" s="33">
        <v>44945</v>
      </c>
      <c r="J674" t="s">
        <v>36</v>
      </c>
      <c r="K674" s="2">
        <f t="shared" si="31"/>
        <v>50</v>
      </c>
      <c r="L674" s="2">
        <f t="shared" si="32"/>
        <v>20</v>
      </c>
    </row>
    <row r="675" spans="1:12" x14ac:dyDescent="0.25">
      <c r="A675" t="s">
        <v>9</v>
      </c>
      <c r="B675" t="s">
        <v>21</v>
      </c>
      <c r="C675" t="s">
        <v>60</v>
      </c>
      <c r="D675" s="2">
        <v>25</v>
      </c>
      <c r="E675" s="2">
        <v>40</v>
      </c>
      <c r="F675">
        <v>14</v>
      </c>
      <c r="G675">
        <v>13</v>
      </c>
      <c r="H675">
        <f t="shared" si="30"/>
        <v>1</v>
      </c>
      <c r="I675" s="33">
        <v>44945</v>
      </c>
      <c r="J675" t="s">
        <v>36</v>
      </c>
      <c r="K675" s="2">
        <f t="shared" si="31"/>
        <v>40</v>
      </c>
      <c r="L675" s="2">
        <f t="shared" si="32"/>
        <v>15</v>
      </c>
    </row>
    <row r="676" spans="1:12" x14ac:dyDescent="0.25">
      <c r="A676" t="s">
        <v>23</v>
      </c>
      <c r="B676" t="s">
        <v>21</v>
      </c>
      <c r="C676" t="s">
        <v>61</v>
      </c>
      <c r="D676" s="2">
        <v>25</v>
      </c>
      <c r="E676" s="2">
        <v>40</v>
      </c>
      <c r="F676">
        <v>10</v>
      </c>
      <c r="G676">
        <v>1</v>
      </c>
      <c r="H676">
        <f t="shared" si="30"/>
        <v>9</v>
      </c>
      <c r="I676" s="33">
        <v>44945</v>
      </c>
      <c r="J676" t="s">
        <v>36</v>
      </c>
      <c r="K676" s="2">
        <f t="shared" si="31"/>
        <v>360</v>
      </c>
      <c r="L676" s="2">
        <f t="shared" si="32"/>
        <v>135</v>
      </c>
    </row>
    <row r="677" spans="1:12" x14ac:dyDescent="0.25">
      <c r="A677" t="s">
        <v>13</v>
      </c>
      <c r="B677" t="s">
        <v>21</v>
      </c>
      <c r="C677" t="s">
        <v>62</v>
      </c>
      <c r="D677" s="2">
        <v>30</v>
      </c>
      <c r="E677" s="2">
        <v>55</v>
      </c>
      <c r="F677">
        <v>3</v>
      </c>
      <c r="G677">
        <v>1</v>
      </c>
      <c r="H677">
        <f t="shared" si="30"/>
        <v>2</v>
      </c>
      <c r="I677" s="33">
        <v>44945</v>
      </c>
      <c r="J677" t="s">
        <v>36</v>
      </c>
      <c r="K677" s="2">
        <f t="shared" si="31"/>
        <v>110</v>
      </c>
      <c r="L677" s="2">
        <f t="shared" si="32"/>
        <v>50</v>
      </c>
    </row>
    <row r="678" spans="1:12" x14ac:dyDescent="0.25">
      <c r="A678" t="s">
        <v>17</v>
      </c>
      <c r="B678" t="s">
        <v>21</v>
      </c>
      <c r="C678" t="s">
        <v>63</v>
      </c>
      <c r="D678" s="2">
        <v>40</v>
      </c>
      <c r="E678" s="2">
        <v>65</v>
      </c>
      <c r="F678">
        <v>22</v>
      </c>
      <c r="G678">
        <v>11</v>
      </c>
      <c r="H678">
        <f t="shared" si="30"/>
        <v>11</v>
      </c>
      <c r="I678" s="33">
        <v>44945</v>
      </c>
      <c r="J678" t="s">
        <v>36</v>
      </c>
      <c r="K678" s="2">
        <f t="shared" si="31"/>
        <v>715</v>
      </c>
      <c r="L678" s="2">
        <f t="shared" si="32"/>
        <v>275</v>
      </c>
    </row>
    <row r="679" spans="1:12" x14ac:dyDescent="0.25">
      <c r="A679" t="s">
        <v>34</v>
      </c>
      <c r="B679" t="s">
        <v>21</v>
      </c>
      <c r="C679" t="s">
        <v>64</v>
      </c>
      <c r="D679" s="2">
        <v>50</v>
      </c>
      <c r="E679" s="2">
        <v>70</v>
      </c>
      <c r="F679">
        <v>0</v>
      </c>
      <c r="G679">
        <v>0</v>
      </c>
      <c r="H679">
        <f t="shared" si="30"/>
        <v>0</v>
      </c>
      <c r="I679" s="33">
        <v>44945</v>
      </c>
      <c r="J679" t="s">
        <v>36</v>
      </c>
      <c r="K679" s="2">
        <f t="shared" si="31"/>
        <v>0</v>
      </c>
      <c r="L679" s="2">
        <f t="shared" si="32"/>
        <v>0</v>
      </c>
    </row>
    <row r="680" spans="1:12" x14ac:dyDescent="0.25">
      <c r="A680" t="s">
        <v>18</v>
      </c>
      <c r="B680" t="s">
        <v>21</v>
      </c>
      <c r="C680" t="s">
        <v>65</v>
      </c>
      <c r="D680" s="2">
        <v>20</v>
      </c>
      <c r="E680" s="2">
        <v>30</v>
      </c>
      <c r="F680">
        <v>11</v>
      </c>
      <c r="G680">
        <v>11</v>
      </c>
      <c r="H680">
        <f t="shared" si="30"/>
        <v>0</v>
      </c>
      <c r="I680" s="33">
        <v>44945</v>
      </c>
      <c r="J680" t="s">
        <v>36</v>
      </c>
      <c r="K680" s="2">
        <f t="shared" si="31"/>
        <v>0</v>
      </c>
      <c r="L680" s="2">
        <f t="shared" si="32"/>
        <v>0</v>
      </c>
    </row>
    <row r="681" spans="1:12" x14ac:dyDescent="0.25">
      <c r="A681" t="s">
        <v>19</v>
      </c>
      <c r="B681" t="s">
        <v>21</v>
      </c>
      <c r="C681" t="s">
        <v>66</v>
      </c>
      <c r="D681" s="2">
        <v>10</v>
      </c>
      <c r="E681" s="2">
        <v>20</v>
      </c>
      <c r="F681">
        <v>7</v>
      </c>
      <c r="G681">
        <v>7</v>
      </c>
      <c r="H681">
        <f t="shared" si="30"/>
        <v>0</v>
      </c>
      <c r="I681" s="33">
        <v>44945</v>
      </c>
      <c r="J681" t="s">
        <v>36</v>
      </c>
      <c r="K681" s="2">
        <f t="shared" si="31"/>
        <v>0</v>
      </c>
      <c r="L681" s="2">
        <f t="shared" si="32"/>
        <v>0</v>
      </c>
    </row>
    <row r="682" spans="1:12" x14ac:dyDescent="0.25">
      <c r="A682" t="s">
        <v>20</v>
      </c>
      <c r="B682" t="s">
        <v>21</v>
      </c>
      <c r="C682" t="s">
        <v>67</v>
      </c>
      <c r="D682" s="2">
        <v>60</v>
      </c>
      <c r="E682" s="2">
        <v>100</v>
      </c>
      <c r="F682">
        <v>3</v>
      </c>
      <c r="G682">
        <v>3</v>
      </c>
      <c r="H682">
        <f t="shared" si="30"/>
        <v>0</v>
      </c>
      <c r="I682" s="33">
        <v>44945</v>
      </c>
      <c r="J682" t="s">
        <v>36</v>
      </c>
      <c r="K682" s="2">
        <f t="shared" si="31"/>
        <v>0</v>
      </c>
      <c r="L682" s="2">
        <f t="shared" si="32"/>
        <v>0</v>
      </c>
    </row>
    <row r="683" spans="1:12" x14ac:dyDescent="0.25">
      <c r="A683" t="s">
        <v>22</v>
      </c>
      <c r="B683" t="s">
        <v>24</v>
      </c>
      <c r="C683" t="s">
        <v>68</v>
      </c>
      <c r="D683" s="2">
        <v>50</v>
      </c>
      <c r="E683" s="2">
        <v>70</v>
      </c>
      <c r="F683">
        <v>4</v>
      </c>
      <c r="G683">
        <v>3</v>
      </c>
      <c r="H683">
        <f t="shared" si="30"/>
        <v>1</v>
      </c>
      <c r="I683" s="33">
        <v>44945</v>
      </c>
      <c r="J683" t="s">
        <v>36</v>
      </c>
      <c r="K683" s="2">
        <f t="shared" si="31"/>
        <v>70</v>
      </c>
      <c r="L683" s="2">
        <f t="shared" si="32"/>
        <v>20</v>
      </c>
    </row>
    <row r="684" spans="1:12" x14ac:dyDescent="0.25">
      <c r="A684" t="s">
        <v>25</v>
      </c>
      <c r="B684" t="s">
        <v>24</v>
      </c>
      <c r="C684" t="s">
        <v>69</v>
      </c>
      <c r="D684" s="2">
        <v>45</v>
      </c>
      <c r="E684" s="2">
        <v>65</v>
      </c>
      <c r="F684">
        <v>0</v>
      </c>
      <c r="G684">
        <v>0</v>
      </c>
      <c r="H684">
        <f t="shared" si="30"/>
        <v>0</v>
      </c>
      <c r="I684" s="33">
        <v>44945</v>
      </c>
      <c r="J684" t="s">
        <v>36</v>
      </c>
      <c r="K684" s="2">
        <f t="shared" si="31"/>
        <v>0</v>
      </c>
      <c r="L684" s="2">
        <f t="shared" si="32"/>
        <v>0</v>
      </c>
    </row>
    <row r="685" spans="1:12" x14ac:dyDescent="0.25">
      <c r="A685" t="s">
        <v>26</v>
      </c>
      <c r="B685" t="s">
        <v>24</v>
      </c>
      <c r="C685" t="s">
        <v>70</v>
      </c>
      <c r="D685" s="2">
        <v>50</v>
      </c>
      <c r="E685" s="2">
        <v>70</v>
      </c>
      <c r="F685">
        <v>0</v>
      </c>
      <c r="G685">
        <v>0</v>
      </c>
      <c r="H685">
        <f t="shared" si="30"/>
        <v>0</v>
      </c>
      <c r="I685" s="33">
        <v>44945</v>
      </c>
      <c r="J685" t="s">
        <v>36</v>
      </c>
      <c r="K685" s="2">
        <f t="shared" si="31"/>
        <v>0</v>
      </c>
      <c r="L685" s="2">
        <f t="shared" si="32"/>
        <v>0</v>
      </c>
    </row>
    <row r="686" spans="1:12" x14ac:dyDescent="0.25">
      <c r="A686" t="s">
        <v>27</v>
      </c>
      <c r="B686" t="s">
        <v>24</v>
      </c>
      <c r="C686" t="s">
        <v>71</v>
      </c>
      <c r="D686" s="2">
        <v>10</v>
      </c>
      <c r="E686" s="2">
        <v>15</v>
      </c>
      <c r="F686">
        <v>4</v>
      </c>
      <c r="G686">
        <v>1</v>
      </c>
      <c r="H686">
        <f t="shared" si="30"/>
        <v>3</v>
      </c>
      <c r="I686" s="33">
        <v>44945</v>
      </c>
      <c r="J686" t="s">
        <v>36</v>
      </c>
      <c r="K686" s="2">
        <f t="shared" si="31"/>
        <v>45</v>
      </c>
      <c r="L686" s="2">
        <f t="shared" si="32"/>
        <v>15</v>
      </c>
    </row>
    <row r="687" spans="1:12" x14ac:dyDescent="0.25">
      <c r="A687" t="s">
        <v>28</v>
      </c>
      <c r="B687" t="s">
        <v>24</v>
      </c>
      <c r="C687" t="s">
        <v>72</v>
      </c>
      <c r="D687" s="2">
        <v>20</v>
      </c>
      <c r="E687" s="2">
        <v>25</v>
      </c>
      <c r="F687">
        <v>11</v>
      </c>
      <c r="G687">
        <v>5</v>
      </c>
      <c r="H687">
        <f t="shared" si="30"/>
        <v>6</v>
      </c>
      <c r="I687" s="33">
        <v>44945</v>
      </c>
      <c r="J687" t="s">
        <v>36</v>
      </c>
      <c r="K687" s="2">
        <f t="shared" si="31"/>
        <v>150</v>
      </c>
      <c r="L687" s="2">
        <f t="shared" si="32"/>
        <v>30</v>
      </c>
    </row>
    <row r="688" spans="1:12" x14ac:dyDescent="0.25">
      <c r="A688" t="s">
        <v>29</v>
      </c>
      <c r="B688" t="s">
        <v>30</v>
      </c>
      <c r="C688" t="s">
        <v>73</v>
      </c>
      <c r="D688" s="2">
        <v>25</v>
      </c>
      <c r="E688" s="2">
        <v>30</v>
      </c>
      <c r="F688">
        <v>10</v>
      </c>
      <c r="G688">
        <v>8</v>
      </c>
      <c r="H688">
        <f t="shared" si="30"/>
        <v>2</v>
      </c>
      <c r="I688" s="33">
        <v>44945</v>
      </c>
      <c r="J688" t="s">
        <v>36</v>
      </c>
      <c r="K688" s="2">
        <f t="shared" si="31"/>
        <v>60</v>
      </c>
      <c r="L688" s="2">
        <f t="shared" si="32"/>
        <v>10</v>
      </c>
    </row>
    <row r="689" spans="1:12" x14ac:dyDescent="0.25">
      <c r="A689" t="s">
        <v>31</v>
      </c>
      <c r="B689" t="s">
        <v>30</v>
      </c>
      <c r="C689" t="s">
        <v>74</v>
      </c>
      <c r="D689" s="2">
        <v>25</v>
      </c>
      <c r="E689" s="2">
        <v>30</v>
      </c>
      <c r="F689">
        <v>6</v>
      </c>
      <c r="G689">
        <v>6</v>
      </c>
      <c r="H689">
        <f t="shared" si="30"/>
        <v>0</v>
      </c>
      <c r="I689" s="33">
        <v>44945</v>
      </c>
      <c r="J689" t="s">
        <v>36</v>
      </c>
      <c r="K689" s="2">
        <f t="shared" si="31"/>
        <v>0</v>
      </c>
      <c r="L689" s="2">
        <f t="shared" si="32"/>
        <v>0</v>
      </c>
    </row>
    <row r="690" spans="1:12" x14ac:dyDescent="0.25">
      <c r="A690" t="s">
        <v>32</v>
      </c>
      <c r="B690" t="s">
        <v>30</v>
      </c>
      <c r="C690" t="s">
        <v>75</v>
      </c>
      <c r="D690" s="2">
        <v>25</v>
      </c>
      <c r="E690" s="2">
        <v>30</v>
      </c>
      <c r="F690">
        <v>6</v>
      </c>
      <c r="G690">
        <v>5</v>
      </c>
      <c r="H690">
        <f t="shared" si="30"/>
        <v>1</v>
      </c>
      <c r="I690" s="33">
        <v>44945</v>
      </c>
      <c r="J690" t="s">
        <v>36</v>
      </c>
      <c r="K690" s="2">
        <f t="shared" si="31"/>
        <v>30</v>
      </c>
      <c r="L690" s="2">
        <f t="shared" si="32"/>
        <v>5</v>
      </c>
    </row>
    <row r="691" spans="1:12" x14ac:dyDescent="0.25">
      <c r="A691" t="s">
        <v>33</v>
      </c>
      <c r="B691" t="s">
        <v>30</v>
      </c>
      <c r="C691" t="s">
        <v>76</v>
      </c>
      <c r="D691" s="2">
        <v>30</v>
      </c>
      <c r="E691" s="2">
        <v>35</v>
      </c>
      <c r="F691">
        <v>10</v>
      </c>
      <c r="G691">
        <v>5</v>
      </c>
      <c r="H691">
        <f t="shared" si="30"/>
        <v>5</v>
      </c>
      <c r="I691" s="33">
        <v>44945</v>
      </c>
      <c r="J691" t="s">
        <v>36</v>
      </c>
      <c r="K691" s="2">
        <f t="shared" si="31"/>
        <v>175</v>
      </c>
      <c r="L691" s="2">
        <f t="shared" si="32"/>
        <v>25</v>
      </c>
    </row>
    <row r="692" spans="1:12" x14ac:dyDescent="0.25">
      <c r="A692" t="s">
        <v>2</v>
      </c>
      <c r="B692" t="s">
        <v>3</v>
      </c>
      <c r="C692" t="s">
        <v>48</v>
      </c>
      <c r="D692" s="2">
        <v>100</v>
      </c>
      <c r="E692" s="2">
        <v>200</v>
      </c>
      <c r="F692">
        <v>4</v>
      </c>
      <c r="G692">
        <v>1</v>
      </c>
      <c r="H692">
        <f t="shared" si="30"/>
        <v>3</v>
      </c>
      <c r="I692" s="33">
        <v>44946</v>
      </c>
      <c r="J692" t="s">
        <v>37</v>
      </c>
      <c r="K692" s="2">
        <f t="shared" si="31"/>
        <v>600</v>
      </c>
      <c r="L692" s="2">
        <f t="shared" si="32"/>
        <v>300</v>
      </c>
    </row>
    <row r="693" spans="1:12" x14ac:dyDescent="0.25">
      <c r="A693" t="s">
        <v>7</v>
      </c>
      <c r="B693" t="s">
        <v>3</v>
      </c>
      <c r="C693" t="s">
        <v>77</v>
      </c>
      <c r="D693" s="2">
        <v>200</v>
      </c>
      <c r="E693" s="2">
        <v>300</v>
      </c>
      <c r="F693">
        <v>4</v>
      </c>
      <c r="G693">
        <v>4</v>
      </c>
      <c r="H693">
        <f t="shared" si="30"/>
        <v>0</v>
      </c>
      <c r="I693" s="33">
        <v>44946</v>
      </c>
      <c r="J693" t="s">
        <v>37</v>
      </c>
      <c r="K693" s="2">
        <f t="shared" si="31"/>
        <v>0</v>
      </c>
      <c r="L693" s="2">
        <f t="shared" si="32"/>
        <v>0</v>
      </c>
    </row>
    <row r="694" spans="1:12" x14ac:dyDescent="0.25">
      <c r="A694" t="s">
        <v>23</v>
      </c>
      <c r="B694" t="s">
        <v>3</v>
      </c>
      <c r="C694" t="s">
        <v>52</v>
      </c>
      <c r="D694" s="2">
        <v>150</v>
      </c>
      <c r="E694" s="2">
        <v>250</v>
      </c>
      <c r="F694">
        <v>3</v>
      </c>
      <c r="G694">
        <v>3</v>
      </c>
      <c r="H694">
        <f t="shared" si="30"/>
        <v>0</v>
      </c>
      <c r="I694" s="33">
        <v>44946</v>
      </c>
      <c r="J694" t="s">
        <v>37</v>
      </c>
      <c r="K694" s="2">
        <f t="shared" si="31"/>
        <v>0</v>
      </c>
      <c r="L694" s="2">
        <f t="shared" si="32"/>
        <v>0</v>
      </c>
    </row>
    <row r="695" spans="1:12" x14ac:dyDescent="0.25">
      <c r="A695" t="s">
        <v>9</v>
      </c>
      <c r="B695" t="s">
        <v>3</v>
      </c>
      <c r="C695" t="s">
        <v>53</v>
      </c>
      <c r="D695" s="2">
        <v>100</v>
      </c>
      <c r="E695" s="2">
        <v>200</v>
      </c>
      <c r="F695">
        <v>3</v>
      </c>
      <c r="G695">
        <v>3</v>
      </c>
      <c r="H695">
        <f t="shared" si="30"/>
        <v>0</v>
      </c>
      <c r="I695" s="33">
        <v>44946</v>
      </c>
      <c r="J695" t="s">
        <v>37</v>
      </c>
      <c r="K695" s="2">
        <f t="shared" si="31"/>
        <v>0</v>
      </c>
      <c r="L695" s="2">
        <f t="shared" si="32"/>
        <v>0</v>
      </c>
    </row>
    <row r="696" spans="1:12" x14ac:dyDescent="0.25">
      <c r="A696" t="s">
        <v>2</v>
      </c>
      <c r="B696" t="s">
        <v>12</v>
      </c>
      <c r="C696" t="s">
        <v>49</v>
      </c>
      <c r="D696" s="2">
        <v>250</v>
      </c>
      <c r="E696" s="2">
        <v>350</v>
      </c>
      <c r="F696">
        <v>3</v>
      </c>
      <c r="G696">
        <v>1</v>
      </c>
      <c r="H696">
        <f t="shared" si="30"/>
        <v>2</v>
      </c>
      <c r="I696" s="33">
        <v>44946</v>
      </c>
      <c r="J696" t="s">
        <v>37</v>
      </c>
      <c r="K696" s="2">
        <f t="shared" si="31"/>
        <v>700</v>
      </c>
      <c r="L696" s="2">
        <f t="shared" si="32"/>
        <v>200</v>
      </c>
    </row>
    <row r="697" spans="1:12" x14ac:dyDescent="0.25">
      <c r="A697" t="s">
        <v>7</v>
      </c>
      <c r="B697" t="s">
        <v>12</v>
      </c>
      <c r="C697" t="s">
        <v>54</v>
      </c>
      <c r="D697" s="2">
        <v>300</v>
      </c>
      <c r="E697" s="2">
        <v>400</v>
      </c>
      <c r="F697">
        <v>0</v>
      </c>
      <c r="G697">
        <v>0</v>
      </c>
      <c r="H697">
        <f t="shared" si="30"/>
        <v>0</v>
      </c>
      <c r="I697" s="33">
        <v>44946</v>
      </c>
      <c r="J697" t="s">
        <v>37</v>
      </c>
      <c r="K697" s="2">
        <f t="shared" si="31"/>
        <v>0</v>
      </c>
      <c r="L697" s="2">
        <f t="shared" si="32"/>
        <v>0</v>
      </c>
    </row>
    <row r="698" spans="1:12" x14ac:dyDescent="0.25">
      <c r="A698" t="s">
        <v>8</v>
      </c>
      <c r="B698" t="s">
        <v>12</v>
      </c>
      <c r="C698" t="s">
        <v>55</v>
      </c>
      <c r="D698" s="2">
        <v>250</v>
      </c>
      <c r="E698" s="2">
        <v>350</v>
      </c>
      <c r="F698">
        <v>2</v>
      </c>
      <c r="G698">
        <v>2</v>
      </c>
      <c r="H698">
        <f t="shared" si="30"/>
        <v>0</v>
      </c>
      <c r="I698" s="33">
        <v>44946</v>
      </c>
      <c r="J698" t="s">
        <v>37</v>
      </c>
      <c r="K698" s="2">
        <f t="shared" si="31"/>
        <v>0</v>
      </c>
      <c r="L698" s="2">
        <f t="shared" si="32"/>
        <v>0</v>
      </c>
    </row>
    <row r="699" spans="1:12" x14ac:dyDescent="0.25">
      <c r="A699" t="s">
        <v>9</v>
      </c>
      <c r="B699" t="s">
        <v>12</v>
      </c>
      <c r="C699" t="s">
        <v>56</v>
      </c>
      <c r="D699" s="2">
        <v>250</v>
      </c>
      <c r="E699" s="2">
        <v>350</v>
      </c>
      <c r="F699">
        <v>2</v>
      </c>
      <c r="G699">
        <v>2</v>
      </c>
      <c r="H699">
        <f t="shared" si="30"/>
        <v>0</v>
      </c>
      <c r="I699" s="33">
        <v>44946</v>
      </c>
      <c r="J699" t="s">
        <v>37</v>
      </c>
      <c r="K699" s="2">
        <f t="shared" si="31"/>
        <v>0</v>
      </c>
      <c r="L699" s="2">
        <f t="shared" si="32"/>
        <v>0</v>
      </c>
    </row>
    <row r="700" spans="1:12" x14ac:dyDescent="0.25">
      <c r="A700" t="s">
        <v>13</v>
      </c>
      <c r="B700" t="s">
        <v>12</v>
      </c>
      <c r="C700" t="s">
        <v>57</v>
      </c>
      <c r="D700" s="2">
        <v>300</v>
      </c>
      <c r="E700" s="2">
        <v>450</v>
      </c>
      <c r="F700">
        <v>1</v>
      </c>
      <c r="G700">
        <v>1</v>
      </c>
      <c r="H700">
        <f t="shared" si="30"/>
        <v>0</v>
      </c>
      <c r="I700" s="33">
        <v>44946</v>
      </c>
      <c r="J700" t="s">
        <v>37</v>
      </c>
      <c r="K700" s="2">
        <f t="shared" si="31"/>
        <v>0</v>
      </c>
      <c r="L700" s="2">
        <f t="shared" si="32"/>
        <v>0</v>
      </c>
    </row>
    <row r="701" spans="1:12" x14ac:dyDescent="0.25">
      <c r="A701" t="s">
        <v>14</v>
      </c>
      <c r="B701" t="s">
        <v>16</v>
      </c>
      <c r="C701" t="s">
        <v>50</v>
      </c>
      <c r="D701" s="2">
        <v>320</v>
      </c>
      <c r="E701" s="2">
        <v>400</v>
      </c>
      <c r="F701">
        <v>0</v>
      </c>
      <c r="G701">
        <v>0</v>
      </c>
      <c r="H701">
        <f t="shared" si="30"/>
        <v>0</v>
      </c>
      <c r="I701" s="33">
        <v>44946</v>
      </c>
      <c r="J701" t="s">
        <v>37</v>
      </c>
      <c r="K701" s="2">
        <f t="shared" si="31"/>
        <v>0</v>
      </c>
      <c r="L701" s="2">
        <f t="shared" si="32"/>
        <v>0</v>
      </c>
    </row>
    <row r="702" spans="1:12" x14ac:dyDescent="0.25">
      <c r="A702" t="s">
        <v>15</v>
      </c>
      <c r="B702" t="s">
        <v>16</v>
      </c>
      <c r="C702" t="s">
        <v>58</v>
      </c>
      <c r="D702" s="2">
        <v>100</v>
      </c>
      <c r="E702" s="2">
        <v>150</v>
      </c>
      <c r="F702">
        <v>3</v>
      </c>
      <c r="G702">
        <v>3</v>
      </c>
      <c r="H702">
        <f t="shared" si="30"/>
        <v>0</v>
      </c>
      <c r="I702" s="33">
        <v>44946</v>
      </c>
      <c r="J702" t="s">
        <v>37</v>
      </c>
      <c r="K702" s="2">
        <f t="shared" si="31"/>
        <v>0</v>
      </c>
      <c r="L702" s="2">
        <f t="shared" si="32"/>
        <v>0</v>
      </c>
    </row>
    <row r="703" spans="1:12" x14ac:dyDescent="0.25">
      <c r="A703" t="s">
        <v>2</v>
      </c>
      <c r="B703" t="s">
        <v>21</v>
      </c>
      <c r="C703" t="s">
        <v>51</v>
      </c>
      <c r="D703" s="2">
        <v>25</v>
      </c>
      <c r="E703" s="2">
        <v>40</v>
      </c>
      <c r="F703">
        <v>6</v>
      </c>
      <c r="G703">
        <v>5</v>
      </c>
      <c r="H703">
        <f t="shared" si="30"/>
        <v>1</v>
      </c>
      <c r="I703" s="33">
        <v>44946</v>
      </c>
      <c r="J703" t="s">
        <v>37</v>
      </c>
      <c r="K703" s="2">
        <f t="shared" si="31"/>
        <v>40</v>
      </c>
      <c r="L703" s="2">
        <f t="shared" si="32"/>
        <v>15</v>
      </c>
    </row>
    <row r="704" spans="1:12" x14ac:dyDescent="0.25">
      <c r="A704" t="s">
        <v>7</v>
      </c>
      <c r="B704" t="s">
        <v>21</v>
      </c>
      <c r="C704" t="s">
        <v>59</v>
      </c>
      <c r="D704" s="2">
        <v>30</v>
      </c>
      <c r="E704" s="2">
        <v>50</v>
      </c>
      <c r="F704">
        <v>11</v>
      </c>
      <c r="G704">
        <v>10</v>
      </c>
      <c r="H704">
        <f t="shared" si="30"/>
        <v>1</v>
      </c>
      <c r="I704" s="33">
        <v>44946</v>
      </c>
      <c r="J704" t="s">
        <v>37</v>
      </c>
      <c r="K704" s="2">
        <f t="shared" si="31"/>
        <v>50</v>
      </c>
      <c r="L704" s="2">
        <f t="shared" si="32"/>
        <v>20</v>
      </c>
    </row>
    <row r="705" spans="1:12" x14ac:dyDescent="0.25">
      <c r="A705" t="s">
        <v>9</v>
      </c>
      <c r="B705" t="s">
        <v>21</v>
      </c>
      <c r="C705" t="s">
        <v>60</v>
      </c>
      <c r="D705" s="2">
        <v>25</v>
      </c>
      <c r="E705" s="2">
        <v>40</v>
      </c>
      <c r="F705">
        <v>13</v>
      </c>
      <c r="G705">
        <v>9</v>
      </c>
      <c r="H705">
        <f t="shared" si="30"/>
        <v>4</v>
      </c>
      <c r="I705" s="33">
        <v>44946</v>
      </c>
      <c r="J705" t="s">
        <v>37</v>
      </c>
      <c r="K705" s="2">
        <f t="shared" si="31"/>
        <v>160</v>
      </c>
      <c r="L705" s="2">
        <f t="shared" si="32"/>
        <v>60</v>
      </c>
    </row>
    <row r="706" spans="1:12" x14ac:dyDescent="0.25">
      <c r="A706" t="s">
        <v>23</v>
      </c>
      <c r="B706" t="s">
        <v>21</v>
      </c>
      <c r="C706" t="s">
        <v>61</v>
      </c>
      <c r="D706" s="2">
        <v>25</v>
      </c>
      <c r="E706" s="2">
        <v>40</v>
      </c>
      <c r="F706">
        <v>1</v>
      </c>
      <c r="G706">
        <v>0</v>
      </c>
      <c r="H706">
        <f t="shared" ref="H706:H769" si="33">F706-G706</f>
        <v>1</v>
      </c>
      <c r="I706" s="33">
        <v>44946</v>
      </c>
      <c r="J706" t="s">
        <v>37</v>
      </c>
      <c r="K706" s="2">
        <f t="shared" ref="K706:K769" si="34">E706*H706</f>
        <v>40</v>
      </c>
      <c r="L706" s="2">
        <f t="shared" ref="L706:L769" si="35">(E706-D706)*H706</f>
        <v>15</v>
      </c>
    </row>
    <row r="707" spans="1:12" x14ac:dyDescent="0.25">
      <c r="A707" t="s">
        <v>13</v>
      </c>
      <c r="B707" t="s">
        <v>21</v>
      </c>
      <c r="C707" t="s">
        <v>62</v>
      </c>
      <c r="D707" s="2">
        <v>30</v>
      </c>
      <c r="E707" s="2">
        <v>55</v>
      </c>
      <c r="F707">
        <v>1</v>
      </c>
      <c r="G707">
        <v>1</v>
      </c>
      <c r="H707">
        <f t="shared" si="33"/>
        <v>0</v>
      </c>
      <c r="I707" s="33">
        <v>44946</v>
      </c>
      <c r="J707" t="s">
        <v>37</v>
      </c>
      <c r="K707" s="2">
        <f t="shared" si="34"/>
        <v>0</v>
      </c>
      <c r="L707" s="2">
        <f t="shared" si="35"/>
        <v>0</v>
      </c>
    </row>
    <row r="708" spans="1:12" x14ac:dyDescent="0.25">
      <c r="A708" t="s">
        <v>17</v>
      </c>
      <c r="B708" t="s">
        <v>21</v>
      </c>
      <c r="C708" t="s">
        <v>63</v>
      </c>
      <c r="D708" s="2">
        <v>40</v>
      </c>
      <c r="E708" s="2">
        <v>65</v>
      </c>
      <c r="F708">
        <v>21</v>
      </c>
      <c r="G708">
        <v>19</v>
      </c>
      <c r="H708">
        <f t="shared" si="33"/>
        <v>2</v>
      </c>
      <c r="I708" s="33">
        <v>44946</v>
      </c>
      <c r="J708" t="s">
        <v>37</v>
      </c>
      <c r="K708" s="2">
        <f t="shared" si="34"/>
        <v>130</v>
      </c>
      <c r="L708" s="2">
        <f t="shared" si="35"/>
        <v>50</v>
      </c>
    </row>
    <row r="709" spans="1:12" x14ac:dyDescent="0.25">
      <c r="A709" t="s">
        <v>34</v>
      </c>
      <c r="B709" t="s">
        <v>21</v>
      </c>
      <c r="C709" t="s">
        <v>64</v>
      </c>
      <c r="D709" s="2">
        <v>50</v>
      </c>
      <c r="E709" s="2">
        <v>70</v>
      </c>
      <c r="F709">
        <v>0</v>
      </c>
      <c r="G709">
        <v>0</v>
      </c>
      <c r="H709">
        <f t="shared" si="33"/>
        <v>0</v>
      </c>
      <c r="I709" s="33">
        <v>44946</v>
      </c>
      <c r="J709" t="s">
        <v>37</v>
      </c>
      <c r="K709" s="2">
        <f t="shared" si="34"/>
        <v>0</v>
      </c>
      <c r="L709" s="2">
        <f t="shared" si="35"/>
        <v>0</v>
      </c>
    </row>
    <row r="710" spans="1:12" x14ac:dyDescent="0.25">
      <c r="A710" t="s">
        <v>18</v>
      </c>
      <c r="B710" t="s">
        <v>21</v>
      </c>
      <c r="C710" t="s">
        <v>65</v>
      </c>
      <c r="D710" s="2">
        <v>20</v>
      </c>
      <c r="E710" s="2">
        <v>30</v>
      </c>
      <c r="F710">
        <v>11</v>
      </c>
      <c r="G710">
        <v>11</v>
      </c>
      <c r="H710">
        <f t="shared" si="33"/>
        <v>0</v>
      </c>
      <c r="I710" s="33">
        <v>44946</v>
      </c>
      <c r="J710" t="s">
        <v>37</v>
      </c>
      <c r="K710" s="2">
        <f t="shared" si="34"/>
        <v>0</v>
      </c>
      <c r="L710" s="2">
        <f t="shared" si="35"/>
        <v>0</v>
      </c>
    </row>
    <row r="711" spans="1:12" x14ac:dyDescent="0.25">
      <c r="A711" t="s">
        <v>19</v>
      </c>
      <c r="B711" t="s">
        <v>21</v>
      </c>
      <c r="C711" t="s">
        <v>66</v>
      </c>
      <c r="D711" s="2">
        <v>10</v>
      </c>
      <c r="E711" s="2">
        <v>20</v>
      </c>
      <c r="F711">
        <v>7</v>
      </c>
      <c r="G711">
        <v>7</v>
      </c>
      <c r="H711">
        <f t="shared" si="33"/>
        <v>0</v>
      </c>
      <c r="I711" s="33">
        <v>44946</v>
      </c>
      <c r="J711" t="s">
        <v>37</v>
      </c>
      <c r="K711" s="2">
        <f t="shared" si="34"/>
        <v>0</v>
      </c>
      <c r="L711" s="2">
        <f t="shared" si="35"/>
        <v>0</v>
      </c>
    </row>
    <row r="712" spans="1:12" x14ac:dyDescent="0.25">
      <c r="A712" t="s">
        <v>20</v>
      </c>
      <c r="B712" t="s">
        <v>21</v>
      </c>
      <c r="C712" t="s">
        <v>67</v>
      </c>
      <c r="D712" s="2">
        <v>60</v>
      </c>
      <c r="E712" s="2">
        <v>100</v>
      </c>
      <c r="F712">
        <v>3</v>
      </c>
      <c r="G712">
        <v>3</v>
      </c>
      <c r="H712">
        <f t="shared" si="33"/>
        <v>0</v>
      </c>
      <c r="I712" s="33">
        <v>44946</v>
      </c>
      <c r="J712" t="s">
        <v>37</v>
      </c>
      <c r="K712" s="2">
        <f t="shared" si="34"/>
        <v>0</v>
      </c>
      <c r="L712" s="2">
        <f t="shared" si="35"/>
        <v>0</v>
      </c>
    </row>
    <row r="713" spans="1:12" x14ac:dyDescent="0.25">
      <c r="A713" t="s">
        <v>22</v>
      </c>
      <c r="B713" t="s">
        <v>24</v>
      </c>
      <c r="C713" t="s">
        <v>68</v>
      </c>
      <c r="D713" s="2">
        <v>50</v>
      </c>
      <c r="E713" s="2">
        <v>70</v>
      </c>
      <c r="F713">
        <v>3</v>
      </c>
      <c r="G713">
        <v>3</v>
      </c>
      <c r="H713">
        <f t="shared" si="33"/>
        <v>0</v>
      </c>
      <c r="I713" s="33">
        <v>44946</v>
      </c>
      <c r="J713" t="s">
        <v>37</v>
      </c>
      <c r="K713" s="2">
        <f t="shared" si="34"/>
        <v>0</v>
      </c>
      <c r="L713" s="2">
        <f t="shared" si="35"/>
        <v>0</v>
      </c>
    </row>
    <row r="714" spans="1:12" x14ac:dyDescent="0.25">
      <c r="A714" t="s">
        <v>25</v>
      </c>
      <c r="B714" t="s">
        <v>24</v>
      </c>
      <c r="C714" t="s">
        <v>69</v>
      </c>
      <c r="D714" s="2">
        <v>45</v>
      </c>
      <c r="E714" s="2">
        <v>65</v>
      </c>
      <c r="F714">
        <v>0</v>
      </c>
      <c r="G714">
        <v>0</v>
      </c>
      <c r="H714">
        <f t="shared" si="33"/>
        <v>0</v>
      </c>
      <c r="I714" s="33">
        <v>44946</v>
      </c>
      <c r="J714" t="s">
        <v>37</v>
      </c>
      <c r="K714" s="2">
        <f t="shared" si="34"/>
        <v>0</v>
      </c>
      <c r="L714" s="2">
        <f t="shared" si="35"/>
        <v>0</v>
      </c>
    </row>
    <row r="715" spans="1:12" x14ac:dyDescent="0.25">
      <c r="A715" t="s">
        <v>26</v>
      </c>
      <c r="B715" t="s">
        <v>24</v>
      </c>
      <c r="C715" t="s">
        <v>70</v>
      </c>
      <c r="D715" s="2">
        <v>50</v>
      </c>
      <c r="E715" s="2">
        <v>70</v>
      </c>
      <c r="F715">
        <v>0</v>
      </c>
      <c r="G715">
        <v>0</v>
      </c>
      <c r="H715">
        <f t="shared" si="33"/>
        <v>0</v>
      </c>
      <c r="I715" s="33">
        <v>44946</v>
      </c>
      <c r="J715" t="s">
        <v>37</v>
      </c>
      <c r="K715" s="2">
        <f t="shared" si="34"/>
        <v>0</v>
      </c>
      <c r="L715" s="2">
        <f t="shared" si="35"/>
        <v>0</v>
      </c>
    </row>
    <row r="716" spans="1:12" x14ac:dyDescent="0.25">
      <c r="A716" t="s">
        <v>27</v>
      </c>
      <c r="B716" t="s">
        <v>24</v>
      </c>
      <c r="C716" t="s">
        <v>71</v>
      </c>
      <c r="D716" s="2">
        <v>10</v>
      </c>
      <c r="E716" s="2">
        <v>15</v>
      </c>
      <c r="F716">
        <v>11</v>
      </c>
      <c r="G716">
        <v>0</v>
      </c>
      <c r="H716">
        <f t="shared" si="33"/>
        <v>11</v>
      </c>
      <c r="I716" s="33">
        <v>44946</v>
      </c>
      <c r="J716" t="s">
        <v>37</v>
      </c>
      <c r="K716" s="2">
        <f t="shared" si="34"/>
        <v>165</v>
      </c>
      <c r="L716" s="2">
        <f t="shared" si="35"/>
        <v>55</v>
      </c>
    </row>
    <row r="717" spans="1:12" x14ac:dyDescent="0.25">
      <c r="A717" t="s">
        <v>28</v>
      </c>
      <c r="B717" t="s">
        <v>24</v>
      </c>
      <c r="C717" t="s">
        <v>72</v>
      </c>
      <c r="D717" s="2">
        <v>20</v>
      </c>
      <c r="E717" s="2">
        <v>25</v>
      </c>
      <c r="F717">
        <v>10</v>
      </c>
      <c r="G717">
        <v>8</v>
      </c>
      <c r="H717">
        <f t="shared" si="33"/>
        <v>2</v>
      </c>
      <c r="I717" s="33">
        <v>44946</v>
      </c>
      <c r="J717" t="s">
        <v>37</v>
      </c>
      <c r="K717" s="2">
        <f t="shared" si="34"/>
        <v>50</v>
      </c>
      <c r="L717" s="2">
        <f t="shared" si="35"/>
        <v>10</v>
      </c>
    </row>
    <row r="718" spans="1:12" x14ac:dyDescent="0.25">
      <c r="A718" t="s">
        <v>29</v>
      </c>
      <c r="B718" t="s">
        <v>30</v>
      </c>
      <c r="C718" t="s">
        <v>73</v>
      </c>
      <c r="D718" s="2">
        <v>25</v>
      </c>
      <c r="E718" s="2">
        <v>30</v>
      </c>
      <c r="F718">
        <v>8</v>
      </c>
      <c r="G718">
        <v>12</v>
      </c>
      <c r="H718">
        <f t="shared" si="33"/>
        <v>-4</v>
      </c>
      <c r="I718" s="33">
        <v>44946</v>
      </c>
      <c r="J718" t="s">
        <v>37</v>
      </c>
      <c r="K718" s="2">
        <f t="shared" si="34"/>
        <v>-120</v>
      </c>
      <c r="L718" s="2">
        <f t="shared" si="35"/>
        <v>-20</v>
      </c>
    </row>
    <row r="719" spans="1:12" x14ac:dyDescent="0.25">
      <c r="A719" t="s">
        <v>31</v>
      </c>
      <c r="B719" t="s">
        <v>30</v>
      </c>
      <c r="C719" t="s">
        <v>74</v>
      </c>
      <c r="D719" s="2">
        <v>25</v>
      </c>
      <c r="E719" s="2">
        <v>30</v>
      </c>
      <c r="F719">
        <v>6</v>
      </c>
      <c r="G719">
        <v>2</v>
      </c>
      <c r="H719">
        <f t="shared" si="33"/>
        <v>4</v>
      </c>
      <c r="I719" s="33">
        <v>44946</v>
      </c>
      <c r="J719" t="s">
        <v>37</v>
      </c>
      <c r="K719" s="2">
        <f t="shared" si="34"/>
        <v>120</v>
      </c>
      <c r="L719" s="2">
        <f t="shared" si="35"/>
        <v>20</v>
      </c>
    </row>
    <row r="720" spans="1:12" x14ac:dyDescent="0.25">
      <c r="A720" t="s">
        <v>32</v>
      </c>
      <c r="B720" t="s">
        <v>30</v>
      </c>
      <c r="C720" t="s">
        <v>75</v>
      </c>
      <c r="D720" s="2">
        <v>25</v>
      </c>
      <c r="E720" s="2">
        <v>30</v>
      </c>
      <c r="F720">
        <v>5</v>
      </c>
      <c r="G720">
        <v>5</v>
      </c>
      <c r="H720">
        <f t="shared" si="33"/>
        <v>0</v>
      </c>
      <c r="I720" s="33">
        <v>44946</v>
      </c>
      <c r="J720" t="s">
        <v>37</v>
      </c>
      <c r="K720" s="2">
        <f t="shared" si="34"/>
        <v>0</v>
      </c>
      <c r="L720" s="2">
        <f t="shared" si="35"/>
        <v>0</v>
      </c>
    </row>
    <row r="721" spans="1:12" x14ac:dyDescent="0.25">
      <c r="A721" t="s">
        <v>33</v>
      </c>
      <c r="B721" t="s">
        <v>30</v>
      </c>
      <c r="C721" t="s">
        <v>76</v>
      </c>
      <c r="D721" s="2">
        <v>30</v>
      </c>
      <c r="E721" s="2">
        <v>35</v>
      </c>
      <c r="F721">
        <v>15</v>
      </c>
      <c r="G721">
        <v>11</v>
      </c>
      <c r="H721">
        <f t="shared" si="33"/>
        <v>4</v>
      </c>
      <c r="I721" s="33">
        <v>44946</v>
      </c>
      <c r="J721" t="s">
        <v>37</v>
      </c>
      <c r="K721" s="2">
        <f t="shared" si="34"/>
        <v>140</v>
      </c>
      <c r="L721" s="2">
        <f t="shared" si="35"/>
        <v>20</v>
      </c>
    </row>
    <row r="722" spans="1:12" x14ac:dyDescent="0.25">
      <c r="A722" t="s">
        <v>2</v>
      </c>
      <c r="B722" t="s">
        <v>3</v>
      </c>
      <c r="C722" t="s">
        <v>48</v>
      </c>
      <c r="D722" s="2">
        <v>100</v>
      </c>
      <c r="E722" s="2">
        <v>200</v>
      </c>
      <c r="F722">
        <v>2</v>
      </c>
      <c r="G722">
        <v>2</v>
      </c>
      <c r="H722">
        <f t="shared" si="33"/>
        <v>0</v>
      </c>
      <c r="I722" s="33">
        <v>44947</v>
      </c>
      <c r="J722" t="s">
        <v>38</v>
      </c>
      <c r="K722" s="2">
        <f t="shared" si="34"/>
        <v>0</v>
      </c>
      <c r="L722" s="2">
        <f t="shared" si="35"/>
        <v>0</v>
      </c>
    </row>
    <row r="723" spans="1:12" x14ac:dyDescent="0.25">
      <c r="A723" t="s">
        <v>7</v>
      </c>
      <c r="B723" t="s">
        <v>3</v>
      </c>
      <c r="C723" t="s">
        <v>77</v>
      </c>
      <c r="D723" s="2">
        <v>200</v>
      </c>
      <c r="E723" s="2">
        <v>300</v>
      </c>
      <c r="F723">
        <v>4</v>
      </c>
      <c r="G723">
        <v>2</v>
      </c>
      <c r="H723">
        <f t="shared" si="33"/>
        <v>2</v>
      </c>
      <c r="I723" s="33">
        <v>44947</v>
      </c>
      <c r="J723" t="s">
        <v>38</v>
      </c>
      <c r="K723" s="2">
        <f t="shared" si="34"/>
        <v>600</v>
      </c>
      <c r="L723" s="2">
        <f t="shared" si="35"/>
        <v>200</v>
      </c>
    </row>
    <row r="724" spans="1:12" x14ac:dyDescent="0.25">
      <c r="A724" t="s">
        <v>23</v>
      </c>
      <c r="B724" t="s">
        <v>3</v>
      </c>
      <c r="C724" t="s">
        <v>52</v>
      </c>
      <c r="D724" s="2">
        <v>150</v>
      </c>
      <c r="E724" s="2">
        <v>250</v>
      </c>
      <c r="F724">
        <v>3</v>
      </c>
      <c r="G724">
        <v>3</v>
      </c>
      <c r="H724">
        <f t="shared" si="33"/>
        <v>0</v>
      </c>
      <c r="I724" s="33">
        <v>44947</v>
      </c>
      <c r="J724" t="s">
        <v>38</v>
      </c>
      <c r="K724" s="2">
        <f t="shared" si="34"/>
        <v>0</v>
      </c>
      <c r="L724" s="2">
        <f t="shared" si="35"/>
        <v>0</v>
      </c>
    </row>
    <row r="725" spans="1:12" x14ac:dyDescent="0.25">
      <c r="A725" t="s">
        <v>9</v>
      </c>
      <c r="B725" t="s">
        <v>3</v>
      </c>
      <c r="C725" t="s">
        <v>53</v>
      </c>
      <c r="D725" s="2">
        <v>100</v>
      </c>
      <c r="E725" s="2">
        <v>200</v>
      </c>
      <c r="F725">
        <v>3</v>
      </c>
      <c r="G725">
        <v>1</v>
      </c>
      <c r="H725">
        <f t="shared" si="33"/>
        <v>2</v>
      </c>
      <c r="I725" s="33">
        <v>44947</v>
      </c>
      <c r="J725" t="s">
        <v>38</v>
      </c>
      <c r="K725" s="2">
        <f t="shared" si="34"/>
        <v>400</v>
      </c>
      <c r="L725" s="2">
        <f t="shared" si="35"/>
        <v>200</v>
      </c>
    </row>
    <row r="726" spans="1:12" x14ac:dyDescent="0.25">
      <c r="A726" t="s">
        <v>2</v>
      </c>
      <c r="B726" t="s">
        <v>12</v>
      </c>
      <c r="C726" t="s">
        <v>49</v>
      </c>
      <c r="D726" s="2">
        <v>250</v>
      </c>
      <c r="E726" s="2">
        <v>350</v>
      </c>
      <c r="F726">
        <v>1</v>
      </c>
      <c r="G726">
        <v>0</v>
      </c>
      <c r="H726">
        <f t="shared" si="33"/>
        <v>1</v>
      </c>
      <c r="I726" s="33">
        <v>44947</v>
      </c>
      <c r="J726" t="s">
        <v>38</v>
      </c>
      <c r="K726" s="2">
        <f t="shared" si="34"/>
        <v>350</v>
      </c>
      <c r="L726" s="2">
        <f t="shared" si="35"/>
        <v>100</v>
      </c>
    </row>
    <row r="727" spans="1:12" x14ac:dyDescent="0.25">
      <c r="A727" t="s">
        <v>7</v>
      </c>
      <c r="B727" t="s">
        <v>12</v>
      </c>
      <c r="C727" t="s">
        <v>54</v>
      </c>
      <c r="D727" s="2">
        <v>300</v>
      </c>
      <c r="E727" s="2">
        <v>400</v>
      </c>
      <c r="F727">
        <v>0</v>
      </c>
      <c r="G727">
        <v>0</v>
      </c>
      <c r="H727">
        <f t="shared" si="33"/>
        <v>0</v>
      </c>
      <c r="I727" s="33">
        <v>44947</v>
      </c>
      <c r="J727" t="s">
        <v>38</v>
      </c>
      <c r="K727" s="2">
        <f t="shared" si="34"/>
        <v>0</v>
      </c>
      <c r="L727" s="2">
        <f t="shared" si="35"/>
        <v>0</v>
      </c>
    </row>
    <row r="728" spans="1:12" x14ac:dyDescent="0.25">
      <c r="A728" t="s">
        <v>8</v>
      </c>
      <c r="B728" t="s">
        <v>12</v>
      </c>
      <c r="C728" t="s">
        <v>55</v>
      </c>
      <c r="D728" s="2">
        <v>250</v>
      </c>
      <c r="E728" s="2">
        <v>350</v>
      </c>
      <c r="F728">
        <v>2</v>
      </c>
      <c r="G728">
        <v>1</v>
      </c>
      <c r="H728">
        <f t="shared" si="33"/>
        <v>1</v>
      </c>
      <c r="I728" s="33">
        <v>44947</v>
      </c>
      <c r="J728" t="s">
        <v>38</v>
      </c>
      <c r="K728" s="2">
        <f t="shared" si="34"/>
        <v>350</v>
      </c>
      <c r="L728" s="2">
        <f t="shared" si="35"/>
        <v>100</v>
      </c>
    </row>
    <row r="729" spans="1:12" x14ac:dyDescent="0.25">
      <c r="A729" t="s">
        <v>9</v>
      </c>
      <c r="B729" t="s">
        <v>12</v>
      </c>
      <c r="C729" t="s">
        <v>56</v>
      </c>
      <c r="D729" s="2">
        <v>250</v>
      </c>
      <c r="E729" s="2">
        <v>350</v>
      </c>
      <c r="F729">
        <v>2</v>
      </c>
      <c r="G729">
        <v>1</v>
      </c>
      <c r="H729">
        <f t="shared" si="33"/>
        <v>1</v>
      </c>
      <c r="I729" s="33">
        <v>44947</v>
      </c>
      <c r="J729" t="s">
        <v>38</v>
      </c>
      <c r="K729" s="2">
        <f t="shared" si="34"/>
        <v>350</v>
      </c>
      <c r="L729" s="2">
        <f t="shared" si="35"/>
        <v>100</v>
      </c>
    </row>
    <row r="730" spans="1:12" x14ac:dyDescent="0.25">
      <c r="A730" t="s">
        <v>13</v>
      </c>
      <c r="B730" t="s">
        <v>12</v>
      </c>
      <c r="C730" t="s">
        <v>57</v>
      </c>
      <c r="D730" s="2">
        <v>300</v>
      </c>
      <c r="E730" s="2">
        <v>450</v>
      </c>
      <c r="F730">
        <v>1</v>
      </c>
      <c r="G730">
        <v>1</v>
      </c>
      <c r="H730">
        <f t="shared" si="33"/>
        <v>0</v>
      </c>
      <c r="I730" s="33">
        <v>44947</v>
      </c>
      <c r="J730" t="s">
        <v>38</v>
      </c>
      <c r="K730" s="2">
        <f t="shared" si="34"/>
        <v>0</v>
      </c>
      <c r="L730" s="2">
        <f t="shared" si="35"/>
        <v>0</v>
      </c>
    </row>
    <row r="731" spans="1:12" x14ac:dyDescent="0.25">
      <c r="A731" t="s">
        <v>14</v>
      </c>
      <c r="B731" t="s">
        <v>16</v>
      </c>
      <c r="C731" t="s">
        <v>50</v>
      </c>
      <c r="D731" s="2">
        <v>320</v>
      </c>
      <c r="E731" s="2">
        <v>400</v>
      </c>
      <c r="F731">
        <v>0</v>
      </c>
      <c r="G731">
        <v>0</v>
      </c>
      <c r="H731">
        <f t="shared" si="33"/>
        <v>0</v>
      </c>
      <c r="I731" s="33">
        <v>44947</v>
      </c>
      <c r="J731" t="s">
        <v>38</v>
      </c>
      <c r="K731" s="2">
        <f t="shared" si="34"/>
        <v>0</v>
      </c>
      <c r="L731" s="2">
        <f t="shared" si="35"/>
        <v>0</v>
      </c>
    </row>
    <row r="732" spans="1:12" x14ac:dyDescent="0.25">
      <c r="A732" t="s">
        <v>15</v>
      </c>
      <c r="B732" t="s">
        <v>16</v>
      </c>
      <c r="C732" t="s">
        <v>58</v>
      </c>
      <c r="D732" s="2">
        <v>100</v>
      </c>
      <c r="E732" s="2">
        <v>150</v>
      </c>
      <c r="F732">
        <v>3</v>
      </c>
      <c r="G732">
        <v>3</v>
      </c>
      <c r="H732">
        <f t="shared" si="33"/>
        <v>0</v>
      </c>
      <c r="I732" s="33">
        <v>44947</v>
      </c>
      <c r="J732" t="s">
        <v>38</v>
      </c>
      <c r="K732" s="2">
        <f t="shared" si="34"/>
        <v>0</v>
      </c>
      <c r="L732" s="2">
        <f t="shared" si="35"/>
        <v>0</v>
      </c>
    </row>
    <row r="733" spans="1:12" x14ac:dyDescent="0.25">
      <c r="A733" t="s">
        <v>2</v>
      </c>
      <c r="B733" t="s">
        <v>21</v>
      </c>
      <c r="C733" t="s">
        <v>51</v>
      </c>
      <c r="D733" s="2">
        <v>25</v>
      </c>
      <c r="E733" s="2">
        <v>40</v>
      </c>
      <c r="F733">
        <v>15</v>
      </c>
      <c r="G733">
        <v>11</v>
      </c>
      <c r="H733">
        <f t="shared" si="33"/>
        <v>4</v>
      </c>
      <c r="I733" s="33">
        <v>44947</v>
      </c>
      <c r="J733" t="s">
        <v>38</v>
      </c>
      <c r="K733" s="2">
        <f t="shared" si="34"/>
        <v>160</v>
      </c>
      <c r="L733" s="2">
        <f t="shared" si="35"/>
        <v>60</v>
      </c>
    </row>
    <row r="734" spans="1:12" x14ac:dyDescent="0.25">
      <c r="A734" t="s">
        <v>7</v>
      </c>
      <c r="B734" t="s">
        <v>21</v>
      </c>
      <c r="C734" t="s">
        <v>59</v>
      </c>
      <c r="D734" s="2">
        <v>30</v>
      </c>
      <c r="E734" s="2">
        <v>50</v>
      </c>
      <c r="F734">
        <v>10</v>
      </c>
      <c r="G734">
        <v>2</v>
      </c>
      <c r="H734">
        <f t="shared" si="33"/>
        <v>8</v>
      </c>
      <c r="I734" s="33">
        <v>44947</v>
      </c>
      <c r="J734" t="s">
        <v>38</v>
      </c>
      <c r="K734" s="2">
        <f t="shared" si="34"/>
        <v>400</v>
      </c>
      <c r="L734" s="2">
        <f t="shared" si="35"/>
        <v>160</v>
      </c>
    </row>
    <row r="735" spans="1:12" x14ac:dyDescent="0.25">
      <c r="A735" t="s">
        <v>9</v>
      </c>
      <c r="B735" t="s">
        <v>21</v>
      </c>
      <c r="C735" t="s">
        <v>60</v>
      </c>
      <c r="D735" s="2">
        <v>25</v>
      </c>
      <c r="E735" s="2">
        <v>40</v>
      </c>
      <c r="F735">
        <v>9</v>
      </c>
      <c r="G735">
        <v>6</v>
      </c>
      <c r="H735">
        <f t="shared" si="33"/>
        <v>3</v>
      </c>
      <c r="I735" s="33">
        <v>44947</v>
      </c>
      <c r="J735" t="s">
        <v>38</v>
      </c>
      <c r="K735" s="2">
        <f t="shared" si="34"/>
        <v>120</v>
      </c>
      <c r="L735" s="2">
        <f t="shared" si="35"/>
        <v>45</v>
      </c>
    </row>
    <row r="736" spans="1:12" x14ac:dyDescent="0.25">
      <c r="A736" t="s">
        <v>23</v>
      </c>
      <c r="B736" t="s">
        <v>21</v>
      </c>
      <c r="C736" t="s">
        <v>61</v>
      </c>
      <c r="D736" s="2">
        <v>25</v>
      </c>
      <c r="E736" s="2">
        <v>40</v>
      </c>
      <c r="F736">
        <v>10</v>
      </c>
      <c r="G736">
        <v>10</v>
      </c>
      <c r="H736">
        <f t="shared" si="33"/>
        <v>0</v>
      </c>
      <c r="I736" s="33">
        <v>44947</v>
      </c>
      <c r="J736" t="s">
        <v>38</v>
      </c>
      <c r="K736" s="2">
        <f t="shared" si="34"/>
        <v>0</v>
      </c>
      <c r="L736" s="2">
        <f t="shared" si="35"/>
        <v>0</v>
      </c>
    </row>
    <row r="737" spans="1:12" x14ac:dyDescent="0.25">
      <c r="A737" t="s">
        <v>13</v>
      </c>
      <c r="B737" t="s">
        <v>21</v>
      </c>
      <c r="C737" t="s">
        <v>62</v>
      </c>
      <c r="D737" s="2">
        <v>30</v>
      </c>
      <c r="E737" s="2">
        <v>55</v>
      </c>
      <c r="F737">
        <v>1</v>
      </c>
      <c r="G737">
        <v>0</v>
      </c>
      <c r="H737">
        <f t="shared" si="33"/>
        <v>1</v>
      </c>
      <c r="I737" s="33">
        <v>44947</v>
      </c>
      <c r="J737" t="s">
        <v>38</v>
      </c>
      <c r="K737" s="2">
        <f t="shared" si="34"/>
        <v>55</v>
      </c>
      <c r="L737" s="2">
        <f t="shared" si="35"/>
        <v>25</v>
      </c>
    </row>
    <row r="738" spans="1:12" x14ac:dyDescent="0.25">
      <c r="A738" t="s">
        <v>17</v>
      </c>
      <c r="B738" t="s">
        <v>21</v>
      </c>
      <c r="C738" t="s">
        <v>63</v>
      </c>
      <c r="D738" s="2">
        <v>40</v>
      </c>
      <c r="E738" s="2">
        <v>65</v>
      </c>
      <c r="F738">
        <v>19</v>
      </c>
      <c r="G738">
        <v>6</v>
      </c>
      <c r="H738">
        <f t="shared" si="33"/>
        <v>13</v>
      </c>
      <c r="I738" s="33">
        <v>44947</v>
      </c>
      <c r="J738" t="s">
        <v>38</v>
      </c>
      <c r="K738" s="2">
        <f t="shared" si="34"/>
        <v>845</v>
      </c>
      <c r="L738" s="2">
        <f t="shared" si="35"/>
        <v>325</v>
      </c>
    </row>
    <row r="739" spans="1:12" x14ac:dyDescent="0.25">
      <c r="A739" t="s">
        <v>34</v>
      </c>
      <c r="B739" t="s">
        <v>21</v>
      </c>
      <c r="C739" t="s">
        <v>64</v>
      </c>
      <c r="D739" s="2">
        <v>50</v>
      </c>
      <c r="E739" s="2">
        <v>70</v>
      </c>
      <c r="F739">
        <v>0</v>
      </c>
      <c r="G739">
        <v>0</v>
      </c>
      <c r="H739">
        <f t="shared" si="33"/>
        <v>0</v>
      </c>
      <c r="I739" s="33">
        <v>44947</v>
      </c>
      <c r="J739" t="s">
        <v>38</v>
      </c>
      <c r="K739" s="2">
        <f t="shared" si="34"/>
        <v>0</v>
      </c>
      <c r="L739" s="2">
        <f t="shared" si="35"/>
        <v>0</v>
      </c>
    </row>
    <row r="740" spans="1:12" x14ac:dyDescent="0.25">
      <c r="A740" t="s">
        <v>18</v>
      </c>
      <c r="B740" t="s">
        <v>21</v>
      </c>
      <c r="C740" t="s">
        <v>65</v>
      </c>
      <c r="D740" s="2">
        <v>20</v>
      </c>
      <c r="E740" s="2">
        <v>30</v>
      </c>
      <c r="F740">
        <v>11</v>
      </c>
      <c r="G740">
        <v>10</v>
      </c>
      <c r="H740">
        <f t="shared" si="33"/>
        <v>1</v>
      </c>
      <c r="I740" s="33">
        <v>44947</v>
      </c>
      <c r="J740" t="s">
        <v>38</v>
      </c>
      <c r="K740" s="2">
        <f t="shared" si="34"/>
        <v>30</v>
      </c>
      <c r="L740" s="2">
        <f t="shared" si="35"/>
        <v>10</v>
      </c>
    </row>
    <row r="741" spans="1:12" x14ac:dyDescent="0.25">
      <c r="A741" t="s">
        <v>19</v>
      </c>
      <c r="B741" t="s">
        <v>21</v>
      </c>
      <c r="C741" t="s">
        <v>66</v>
      </c>
      <c r="D741" s="2">
        <v>10</v>
      </c>
      <c r="E741" s="2">
        <v>20</v>
      </c>
      <c r="F741">
        <v>7</v>
      </c>
      <c r="G741">
        <v>4</v>
      </c>
      <c r="H741">
        <f t="shared" si="33"/>
        <v>3</v>
      </c>
      <c r="I741" s="33">
        <v>44947</v>
      </c>
      <c r="J741" t="s">
        <v>38</v>
      </c>
      <c r="K741" s="2">
        <f t="shared" si="34"/>
        <v>60</v>
      </c>
      <c r="L741" s="2">
        <f t="shared" si="35"/>
        <v>30</v>
      </c>
    </row>
    <row r="742" spans="1:12" x14ac:dyDescent="0.25">
      <c r="A742" t="s">
        <v>20</v>
      </c>
      <c r="B742" t="s">
        <v>21</v>
      </c>
      <c r="C742" t="s">
        <v>67</v>
      </c>
      <c r="D742" s="2">
        <v>60</v>
      </c>
      <c r="E742" s="2">
        <v>100</v>
      </c>
      <c r="F742">
        <v>3</v>
      </c>
      <c r="G742">
        <v>2</v>
      </c>
      <c r="H742">
        <f t="shared" si="33"/>
        <v>1</v>
      </c>
      <c r="I742" s="33">
        <v>44947</v>
      </c>
      <c r="J742" t="s">
        <v>38</v>
      </c>
      <c r="K742" s="2">
        <f t="shared" si="34"/>
        <v>100</v>
      </c>
      <c r="L742" s="2">
        <f t="shared" si="35"/>
        <v>40</v>
      </c>
    </row>
    <row r="743" spans="1:12" x14ac:dyDescent="0.25">
      <c r="A743" t="s">
        <v>22</v>
      </c>
      <c r="B743" t="s">
        <v>24</v>
      </c>
      <c r="C743" t="s">
        <v>68</v>
      </c>
      <c r="D743" s="2">
        <v>50</v>
      </c>
      <c r="E743" s="2">
        <v>70</v>
      </c>
      <c r="F743">
        <v>3</v>
      </c>
      <c r="G743">
        <v>0</v>
      </c>
      <c r="H743">
        <f t="shared" si="33"/>
        <v>3</v>
      </c>
      <c r="I743" s="33">
        <v>44947</v>
      </c>
      <c r="J743" t="s">
        <v>38</v>
      </c>
      <c r="K743" s="2">
        <f t="shared" si="34"/>
        <v>210</v>
      </c>
      <c r="L743" s="2">
        <f t="shared" si="35"/>
        <v>60</v>
      </c>
    </row>
    <row r="744" spans="1:12" x14ac:dyDescent="0.25">
      <c r="A744" t="s">
        <v>25</v>
      </c>
      <c r="B744" t="s">
        <v>24</v>
      </c>
      <c r="C744" t="s">
        <v>69</v>
      </c>
      <c r="D744" s="2">
        <v>45</v>
      </c>
      <c r="E744" s="2">
        <v>65</v>
      </c>
      <c r="F744">
        <v>0</v>
      </c>
      <c r="G744">
        <v>0</v>
      </c>
      <c r="H744">
        <f t="shared" si="33"/>
        <v>0</v>
      </c>
      <c r="I744" s="33">
        <v>44947</v>
      </c>
      <c r="J744" t="s">
        <v>38</v>
      </c>
      <c r="K744" s="2">
        <f t="shared" si="34"/>
        <v>0</v>
      </c>
      <c r="L744" s="2">
        <f t="shared" si="35"/>
        <v>0</v>
      </c>
    </row>
    <row r="745" spans="1:12" x14ac:dyDescent="0.25">
      <c r="A745" t="s">
        <v>26</v>
      </c>
      <c r="B745" t="s">
        <v>24</v>
      </c>
      <c r="C745" t="s">
        <v>70</v>
      </c>
      <c r="D745" s="2">
        <v>50</v>
      </c>
      <c r="E745" s="2">
        <v>70</v>
      </c>
      <c r="F745">
        <v>0</v>
      </c>
      <c r="G745">
        <v>0</v>
      </c>
      <c r="H745">
        <f t="shared" si="33"/>
        <v>0</v>
      </c>
      <c r="I745" s="33">
        <v>44947</v>
      </c>
      <c r="J745" t="s">
        <v>38</v>
      </c>
      <c r="K745" s="2">
        <f t="shared" si="34"/>
        <v>0</v>
      </c>
      <c r="L745" s="2">
        <f t="shared" si="35"/>
        <v>0</v>
      </c>
    </row>
    <row r="746" spans="1:12" x14ac:dyDescent="0.25">
      <c r="A746" t="s">
        <v>27</v>
      </c>
      <c r="B746" t="s">
        <v>24</v>
      </c>
      <c r="C746" t="s">
        <v>71</v>
      </c>
      <c r="D746" s="2">
        <v>10</v>
      </c>
      <c r="E746" s="2">
        <v>15</v>
      </c>
      <c r="F746">
        <v>10</v>
      </c>
      <c r="G746">
        <v>7</v>
      </c>
      <c r="H746">
        <f t="shared" si="33"/>
        <v>3</v>
      </c>
      <c r="I746" s="33">
        <v>44947</v>
      </c>
      <c r="J746" t="s">
        <v>38</v>
      </c>
      <c r="K746" s="2">
        <f t="shared" si="34"/>
        <v>45</v>
      </c>
      <c r="L746" s="2">
        <f t="shared" si="35"/>
        <v>15</v>
      </c>
    </row>
    <row r="747" spans="1:12" x14ac:dyDescent="0.25">
      <c r="A747" t="s">
        <v>28</v>
      </c>
      <c r="B747" t="s">
        <v>24</v>
      </c>
      <c r="C747" t="s">
        <v>72</v>
      </c>
      <c r="D747" s="2">
        <v>20</v>
      </c>
      <c r="E747" s="2">
        <v>25</v>
      </c>
      <c r="F747">
        <v>8</v>
      </c>
      <c r="G747">
        <v>3</v>
      </c>
      <c r="H747">
        <f t="shared" si="33"/>
        <v>5</v>
      </c>
      <c r="I747" s="33">
        <v>44947</v>
      </c>
      <c r="J747" t="s">
        <v>38</v>
      </c>
      <c r="K747" s="2">
        <f t="shared" si="34"/>
        <v>125</v>
      </c>
      <c r="L747" s="2">
        <f t="shared" si="35"/>
        <v>25</v>
      </c>
    </row>
    <row r="748" spans="1:12" x14ac:dyDescent="0.25">
      <c r="A748" t="s">
        <v>29</v>
      </c>
      <c r="B748" t="s">
        <v>30</v>
      </c>
      <c r="C748" t="s">
        <v>73</v>
      </c>
      <c r="D748" s="2">
        <v>25</v>
      </c>
      <c r="E748" s="2">
        <v>30</v>
      </c>
      <c r="F748">
        <v>12</v>
      </c>
      <c r="G748">
        <v>10</v>
      </c>
      <c r="H748">
        <f t="shared" si="33"/>
        <v>2</v>
      </c>
      <c r="I748" s="33">
        <v>44947</v>
      </c>
      <c r="J748" t="s">
        <v>38</v>
      </c>
      <c r="K748" s="2">
        <f t="shared" si="34"/>
        <v>60</v>
      </c>
      <c r="L748" s="2">
        <f t="shared" si="35"/>
        <v>10</v>
      </c>
    </row>
    <row r="749" spans="1:12" x14ac:dyDescent="0.25">
      <c r="A749" t="s">
        <v>31</v>
      </c>
      <c r="B749" t="s">
        <v>30</v>
      </c>
      <c r="C749" t="s">
        <v>74</v>
      </c>
      <c r="D749" s="2">
        <v>25</v>
      </c>
      <c r="E749" s="2">
        <v>30</v>
      </c>
      <c r="F749">
        <v>2</v>
      </c>
      <c r="G749">
        <v>2</v>
      </c>
      <c r="H749">
        <f t="shared" si="33"/>
        <v>0</v>
      </c>
      <c r="I749" s="33">
        <v>44947</v>
      </c>
      <c r="J749" t="s">
        <v>38</v>
      </c>
      <c r="K749" s="2">
        <f t="shared" si="34"/>
        <v>0</v>
      </c>
      <c r="L749" s="2">
        <f t="shared" si="35"/>
        <v>0</v>
      </c>
    </row>
    <row r="750" spans="1:12" x14ac:dyDescent="0.25">
      <c r="A750" t="s">
        <v>32</v>
      </c>
      <c r="B750" t="s">
        <v>30</v>
      </c>
      <c r="C750" t="s">
        <v>75</v>
      </c>
      <c r="D750" s="2">
        <v>25</v>
      </c>
      <c r="E750" s="2">
        <v>30</v>
      </c>
      <c r="F750">
        <v>5</v>
      </c>
      <c r="G750">
        <v>5</v>
      </c>
      <c r="H750">
        <f t="shared" si="33"/>
        <v>0</v>
      </c>
      <c r="I750" s="33">
        <v>44947</v>
      </c>
      <c r="J750" t="s">
        <v>38</v>
      </c>
      <c r="K750" s="2">
        <f t="shared" si="34"/>
        <v>0</v>
      </c>
      <c r="L750" s="2">
        <f t="shared" si="35"/>
        <v>0</v>
      </c>
    </row>
    <row r="751" spans="1:12" x14ac:dyDescent="0.25">
      <c r="A751" t="s">
        <v>33</v>
      </c>
      <c r="B751" t="s">
        <v>30</v>
      </c>
      <c r="C751" t="s">
        <v>76</v>
      </c>
      <c r="D751" s="2">
        <v>30</v>
      </c>
      <c r="E751" s="2">
        <v>35</v>
      </c>
      <c r="F751">
        <v>20</v>
      </c>
      <c r="G751">
        <v>10</v>
      </c>
      <c r="H751">
        <f t="shared" si="33"/>
        <v>10</v>
      </c>
      <c r="I751" s="33">
        <v>44947</v>
      </c>
      <c r="J751" t="s">
        <v>38</v>
      </c>
      <c r="K751" s="2">
        <f t="shared" si="34"/>
        <v>350</v>
      </c>
      <c r="L751" s="2">
        <f t="shared" si="35"/>
        <v>50</v>
      </c>
    </row>
    <row r="752" spans="1:12" x14ac:dyDescent="0.25">
      <c r="A752" t="s">
        <v>2</v>
      </c>
      <c r="B752" t="s">
        <v>3</v>
      </c>
      <c r="C752" t="s">
        <v>48</v>
      </c>
      <c r="D752" s="2">
        <v>100</v>
      </c>
      <c r="E752" s="2">
        <v>200</v>
      </c>
      <c r="F752">
        <v>2</v>
      </c>
      <c r="G752">
        <v>0</v>
      </c>
      <c r="H752">
        <f t="shared" si="33"/>
        <v>2</v>
      </c>
      <c r="I752" s="33">
        <v>44948</v>
      </c>
      <c r="J752" t="s">
        <v>6</v>
      </c>
      <c r="K752" s="2">
        <f t="shared" si="34"/>
        <v>400</v>
      </c>
      <c r="L752" s="2">
        <f t="shared" si="35"/>
        <v>200</v>
      </c>
    </row>
    <row r="753" spans="1:12" x14ac:dyDescent="0.25">
      <c r="A753" t="s">
        <v>7</v>
      </c>
      <c r="B753" t="s">
        <v>3</v>
      </c>
      <c r="C753" t="s">
        <v>77</v>
      </c>
      <c r="D753" s="2">
        <v>200</v>
      </c>
      <c r="E753" s="2">
        <v>300</v>
      </c>
      <c r="F753">
        <v>2</v>
      </c>
      <c r="G753">
        <v>2</v>
      </c>
      <c r="H753">
        <f t="shared" si="33"/>
        <v>0</v>
      </c>
      <c r="I753" s="33">
        <v>44948</v>
      </c>
      <c r="J753" t="s">
        <v>6</v>
      </c>
      <c r="K753" s="2">
        <f t="shared" si="34"/>
        <v>0</v>
      </c>
      <c r="L753" s="2">
        <f t="shared" si="35"/>
        <v>0</v>
      </c>
    </row>
    <row r="754" spans="1:12" x14ac:dyDescent="0.25">
      <c r="A754" t="s">
        <v>23</v>
      </c>
      <c r="B754" t="s">
        <v>3</v>
      </c>
      <c r="C754" t="s">
        <v>52</v>
      </c>
      <c r="D754" s="2">
        <v>150</v>
      </c>
      <c r="E754" s="2">
        <v>250</v>
      </c>
      <c r="F754">
        <v>3</v>
      </c>
      <c r="G754">
        <v>2</v>
      </c>
      <c r="H754">
        <f t="shared" si="33"/>
        <v>1</v>
      </c>
      <c r="I754" s="33">
        <v>44948</v>
      </c>
      <c r="J754" t="s">
        <v>6</v>
      </c>
      <c r="K754" s="2">
        <f t="shared" si="34"/>
        <v>250</v>
      </c>
      <c r="L754" s="2">
        <f t="shared" si="35"/>
        <v>100</v>
      </c>
    </row>
    <row r="755" spans="1:12" x14ac:dyDescent="0.25">
      <c r="A755" t="s">
        <v>9</v>
      </c>
      <c r="B755" t="s">
        <v>3</v>
      </c>
      <c r="C755" t="s">
        <v>53</v>
      </c>
      <c r="D755" s="2">
        <v>100</v>
      </c>
      <c r="E755" s="2">
        <v>200</v>
      </c>
      <c r="F755">
        <v>1</v>
      </c>
      <c r="G755">
        <v>1</v>
      </c>
      <c r="H755">
        <f t="shared" si="33"/>
        <v>0</v>
      </c>
      <c r="I755" s="33">
        <v>44948</v>
      </c>
      <c r="J755" t="s">
        <v>6</v>
      </c>
      <c r="K755" s="2">
        <f t="shared" si="34"/>
        <v>0</v>
      </c>
      <c r="L755" s="2">
        <f t="shared" si="35"/>
        <v>0</v>
      </c>
    </row>
    <row r="756" spans="1:12" x14ac:dyDescent="0.25">
      <c r="A756" t="s">
        <v>2</v>
      </c>
      <c r="B756" t="s">
        <v>12</v>
      </c>
      <c r="C756" t="s">
        <v>49</v>
      </c>
      <c r="D756" s="2">
        <v>250</v>
      </c>
      <c r="E756" s="2">
        <v>350</v>
      </c>
      <c r="F756">
        <v>2</v>
      </c>
      <c r="G756">
        <v>1</v>
      </c>
      <c r="H756">
        <f t="shared" si="33"/>
        <v>1</v>
      </c>
      <c r="I756" s="33">
        <v>44948</v>
      </c>
      <c r="J756" t="s">
        <v>6</v>
      </c>
      <c r="K756" s="2">
        <f t="shared" si="34"/>
        <v>350</v>
      </c>
      <c r="L756" s="2">
        <f t="shared" si="35"/>
        <v>100</v>
      </c>
    </row>
    <row r="757" spans="1:12" x14ac:dyDescent="0.25">
      <c r="A757" t="s">
        <v>7</v>
      </c>
      <c r="B757" t="s">
        <v>12</v>
      </c>
      <c r="C757" t="s">
        <v>54</v>
      </c>
      <c r="D757" s="2">
        <v>300</v>
      </c>
      <c r="E757" s="2">
        <v>400</v>
      </c>
      <c r="F757">
        <v>1</v>
      </c>
      <c r="G757">
        <v>1</v>
      </c>
      <c r="H757">
        <f t="shared" si="33"/>
        <v>0</v>
      </c>
      <c r="I757" s="33">
        <v>44948</v>
      </c>
      <c r="J757" t="s">
        <v>6</v>
      </c>
      <c r="K757" s="2">
        <f t="shared" si="34"/>
        <v>0</v>
      </c>
      <c r="L757" s="2">
        <f t="shared" si="35"/>
        <v>0</v>
      </c>
    </row>
    <row r="758" spans="1:12" x14ac:dyDescent="0.25">
      <c r="A758" t="s">
        <v>8</v>
      </c>
      <c r="B758" t="s">
        <v>12</v>
      </c>
      <c r="C758" t="s">
        <v>55</v>
      </c>
      <c r="D758" s="2">
        <v>250</v>
      </c>
      <c r="E758" s="2">
        <v>350</v>
      </c>
      <c r="F758">
        <v>2</v>
      </c>
      <c r="G758">
        <v>1</v>
      </c>
      <c r="H758">
        <f t="shared" si="33"/>
        <v>1</v>
      </c>
      <c r="I758" s="33">
        <v>44948</v>
      </c>
      <c r="J758" t="s">
        <v>6</v>
      </c>
      <c r="K758" s="2">
        <f t="shared" si="34"/>
        <v>350</v>
      </c>
      <c r="L758" s="2">
        <f t="shared" si="35"/>
        <v>100</v>
      </c>
    </row>
    <row r="759" spans="1:12" x14ac:dyDescent="0.25">
      <c r="A759" t="s">
        <v>9</v>
      </c>
      <c r="B759" t="s">
        <v>12</v>
      </c>
      <c r="C759" t="s">
        <v>56</v>
      </c>
      <c r="D759" s="2">
        <v>250</v>
      </c>
      <c r="E759" s="2">
        <v>350</v>
      </c>
      <c r="F759">
        <v>1</v>
      </c>
      <c r="G759">
        <v>1</v>
      </c>
      <c r="H759">
        <f t="shared" si="33"/>
        <v>0</v>
      </c>
      <c r="I759" s="33">
        <v>44948</v>
      </c>
      <c r="J759" t="s">
        <v>6</v>
      </c>
      <c r="K759" s="2">
        <f t="shared" si="34"/>
        <v>0</v>
      </c>
      <c r="L759" s="2">
        <f t="shared" si="35"/>
        <v>0</v>
      </c>
    </row>
    <row r="760" spans="1:12" x14ac:dyDescent="0.25">
      <c r="A760" t="s">
        <v>13</v>
      </c>
      <c r="B760" t="s">
        <v>12</v>
      </c>
      <c r="C760" t="s">
        <v>57</v>
      </c>
      <c r="D760" s="2">
        <v>300</v>
      </c>
      <c r="E760" s="2">
        <v>450</v>
      </c>
      <c r="F760">
        <v>1</v>
      </c>
      <c r="G760">
        <v>0</v>
      </c>
      <c r="H760">
        <f t="shared" si="33"/>
        <v>1</v>
      </c>
      <c r="I760" s="33">
        <v>44948</v>
      </c>
      <c r="J760" t="s">
        <v>6</v>
      </c>
      <c r="K760" s="2">
        <f t="shared" si="34"/>
        <v>450</v>
      </c>
      <c r="L760" s="2">
        <f t="shared" si="35"/>
        <v>150</v>
      </c>
    </row>
    <row r="761" spans="1:12" x14ac:dyDescent="0.25">
      <c r="A761" t="s">
        <v>14</v>
      </c>
      <c r="B761" t="s">
        <v>16</v>
      </c>
      <c r="C761" t="s">
        <v>50</v>
      </c>
      <c r="D761" s="2">
        <v>320</v>
      </c>
      <c r="E761" s="2">
        <v>400</v>
      </c>
      <c r="F761">
        <v>0</v>
      </c>
      <c r="G761">
        <v>0</v>
      </c>
      <c r="H761">
        <f t="shared" si="33"/>
        <v>0</v>
      </c>
      <c r="I761" s="33">
        <v>44948</v>
      </c>
      <c r="J761" t="s">
        <v>6</v>
      </c>
      <c r="K761" s="2">
        <f t="shared" si="34"/>
        <v>0</v>
      </c>
      <c r="L761" s="2">
        <f t="shared" si="35"/>
        <v>0</v>
      </c>
    </row>
    <row r="762" spans="1:12" x14ac:dyDescent="0.25">
      <c r="A762" t="s">
        <v>15</v>
      </c>
      <c r="B762" t="s">
        <v>16</v>
      </c>
      <c r="C762" t="s">
        <v>58</v>
      </c>
      <c r="D762" s="2">
        <v>100</v>
      </c>
      <c r="E762" s="2">
        <v>150</v>
      </c>
      <c r="F762">
        <v>3</v>
      </c>
      <c r="G762">
        <v>3</v>
      </c>
      <c r="H762">
        <f t="shared" si="33"/>
        <v>0</v>
      </c>
      <c r="I762" s="33">
        <v>44948</v>
      </c>
      <c r="J762" t="s">
        <v>6</v>
      </c>
      <c r="K762" s="2">
        <f t="shared" si="34"/>
        <v>0</v>
      </c>
      <c r="L762" s="2">
        <f t="shared" si="35"/>
        <v>0</v>
      </c>
    </row>
    <row r="763" spans="1:12" x14ac:dyDescent="0.25">
      <c r="A763" t="s">
        <v>2</v>
      </c>
      <c r="B763" t="s">
        <v>21</v>
      </c>
      <c r="C763" t="s">
        <v>51</v>
      </c>
      <c r="D763" s="2">
        <v>25</v>
      </c>
      <c r="E763" s="2">
        <v>40</v>
      </c>
      <c r="F763">
        <v>11</v>
      </c>
      <c r="G763">
        <v>5</v>
      </c>
      <c r="H763">
        <f t="shared" si="33"/>
        <v>6</v>
      </c>
      <c r="I763" s="33">
        <v>44948</v>
      </c>
      <c r="J763" t="s">
        <v>6</v>
      </c>
      <c r="K763" s="2">
        <f t="shared" si="34"/>
        <v>240</v>
      </c>
      <c r="L763" s="2">
        <f t="shared" si="35"/>
        <v>90</v>
      </c>
    </row>
    <row r="764" spans="1:12" x14ac:dyDescent="0.25">
      <c r="A764" t="s">
        <v>7</v>
      </c>
      <c r="B764" t="s">
        <v>21</v>
      </c>
      <c r="C764" t="s">
        <v>59</v>
      </c>
      <c r="D764" s="2">
        <v>30</v>
      </c>
      <c r="E764" s="2">
        <v>50</v>
      </c>
      <c r="F764">
        <v>2</v>
      </c>
      <c r="G764">
        <v>0</v>
      </c>
      <c r="H764">
        <f t="shared" si="33"/>
        <v>2</v>
      </c>
      <c r="I764" s="33">
        <v>44948</v>
      </c>
      <c r="J764" t="s">
        <v>6</v>
      </c>
      <c r="K764" s="2">
        <f t="shared" si="34"/>
        <v>100</v>
      </c>
      <c r="L764" s="2">
        <f t="shared" si="35"/>
        <v>40</v>
      </c>
    </row>
    <row r="765" spans="1:12" x14ac:dyDescent="0.25">
      <c r="A765" t="s">
        <v>9</v>
      </c>
      <c r="B765" t="s">
        <v>21</v>
      </c>
      <c r="C765" t="s">
        <v>60</v>
      </c>
      <c r="D765" s="2">
        <v>25</v>
      </c>
      <c r="E765" s="2">
        <v>40</v>
      </c>
      <c r="F765">
        <v>6</v>
      </c>
      <c r="G765">
        <v>6</v>
      </c>
      <c r="H765">
        <f t="shared" si="33"/>
        <v>0</v>
      </c>
      <c r="I765" s="33">
        <v>44948</v>
      </c>
      <c r="J765" t="s">
        <v>6</v>
      </c>
      <c r="K765" s="2">
        <f t="shared" si="34"/>
        <v>0</v>
      </c>
      <c r="L765" s="2">
        <f t="shared" si="35"/>
        <v>0</v>
      </c>
    </row>
    <row r="766" spans="1:12" x14ac:dyDescent="0.25">
      <c r="A766" t="s">
        <v>23</v>
      </c>
      <c r="B766" t="s">
        <v>21</v>
      </c>
      <c r="C766" t="s">
        <v>61</v>
      </c>
      <c r="D766" s="2">
        <v>25</v>
      </c>
      <c r="E766" s="2">
        <v>40</v>
      </c>
      <c r="F766">
        <v>10</v>
      </c>
      <c r="G766">
        <v>4</v>
      </c>
      <c r="H766">
        <f t="shared" si="33"/>
        <v>6</v>
      </c>
      <c r="I766" s="33">
        <v>44948</v>
      </c>
      <c r="J766" t="s">
        <v>6</v>
      </c>
      <c r="K766" s="2">
        <f t="shared" si="34"/>
        <v>240</v>
      </c>
      <c r="L766" s="2">
        <f t="shared" si="35"/>
        <v>90</v>
      </c>
    </row>
    <row r="767" spans="1:12" x14ac:dyDescent="0.25">
      <c r="A767" t="s">
        <v>13</v>
      </c>
      <c r="B767" t="s">
        <v>21</v>
      </c>
      <c r="C767" t="s">
        <v>62</v>
      </c>
      <c r="D767" s="2">
        <v>30</v>
      </c>
      <c r="E767" s="2">
        <v>55</v>
      </c>
      <c r="F767">
        <v>0</v>
      </c>
      <c r="G767">
        <v>0</v>
      </c>
      <c r="H767">
        <f t="shared" si="33"/>
        <v>0</v>
      </c>
      <c r="I767" s="33">
        <v>44948</v>
      </c>
      <c r="J767" t="s">
        <v>6</v>
      </c>
      <c r="K767" s="2">
        <f t="shared" si="34"/>
        <v>0</v>
      </c>
      <c r="L767" s="2">
        <f t="shared" si="35"/>
        <v>0</v>
      </c>
    </row>
    <row r="768" spans="1:12" x14ac:dyDescent="0.25">
      <c r="A768" t="s">
        <v>17</v>
      </c>
      <c r="B768" t="s">
        <v>21</v>
      </c>
      <c r="C768" t="s">
        <v>63</v>
      </c>
      <c r="D768" s="2">
        <v>40</v>
      </c>
      <c r="E768" s="2">
        <v>65</v>
      </c>
      <c r="F768">
        <v>6</v>
      </c>
      <c r="G768">
        <v>5</v>
      </c>
      <c r="H768">
        <f t="shared" si="33"/>
        <v>1</v>
      </c>
      <c r="I768" s="33">
        <v>44948</v>
      </c>
      <c r="J768" t="s">
        <v>6</v>
      </c>
      <c r="K768" s="2">
        <f t="shared" si="34"/>
        <v>65</v>
      </c>
      <c r="L768" s="2">
        <f t="shared" si="35"/>
        <v>25</v>
      </c>
    </row>
    <row r="769" spans="1:12" x14ac:dyDescent="0.25">
      <c r="A769" t="s">
        <v>34</v>
      </c>
      <c r="B769" t="s">
        <v>21</v>
      </c>
      <c r="C769" t="s">
        <v>64</v>
      </c>
      <c r="D769" s="2">
        <v>50</v>
      </c>
      <c r="E769" s="2">
        <v>70</v>
      </c>
      <c r="F769">
        <v>0</v>
      </c>
      <c r="G769">
        <v>0</v>
      </c>
      <c r="H769">
        <f t="shared" si="33"/>
        <v>0</v>
      </c>
      <c r="I769" s="33">
        <v>44948</v>
      </c>
      <c r="J769" t="s">
        <v>6</v>
      </c>
      <c r="K769" s="2">
        <f t="shared" si="34"/>
        <v>0</v>
      </c>
      <c r="L769" s="2">
        <f t="shared" si="35"/>
        <v>0</v>
      </c>
    </row>
    <row r="770" spans="1:12" x14ac:dyDescent="0.25">
      <c r="A770" t="s">
        <v>18</v>
      </c>
      <c r="B770" t="s">
        <v>21</v>
      </c>
      <c r="C770" t="s">
        <v>65</v>
      </c>
      <c r="D770" s="2">
        <v>20</v>
      </c>
      <c r="E770" s="2">
        <v>30</v>
      </c>
      <c r="F770">
        <v>10</v>
      </c>
      <c r="G770">
        <v>10</v>
      </c>
      <c r="H770">
        <f t="shared" ref="H770:H833" si="36">F770-G770</f>
        <v>0</v>
      </c>
      <c r="I770" s="33">
        <v>44948</v>
      </c>
      <c r="J770" t="s">
        <v>6</v>
      </c>
      <c r="K770" s="2">
        <f t="shared" ref="K770:K833" si="37">E770*H770</f>
        <v>0</v>
      </c>
      <c r="L770" s="2">
        <f t="shared" ref="L770:L833" si="38">(E770-D770)*H770</f>
        <v>0</v>
      </c>
    </row>
    <row r="771" spans="1:12" x14ac:dyDescent="0.25">
      <c r="A771" t="s">
        <v>19</v>
      </c>
      <c r="B771" t="s">
        <v>21</v>
      </c>
      <c r="C771" t="s">
        <v>66</v>
      </c>
      <c r="D771" s="2">
        <v>10</v>
      </c>
      <c r="E771" s="2">
        <v>20</v>
      </c>
      <c r="F771">
        <v>4</v>
      </c>
      <c r="G771">
        <v>4</v>
      </c>
      <c r="H771">
        <f t="shared" si="36"/>
        <v>0</v>
      </c>
      <c r="I771" s="33">
        <v>44948</v>
      </c>
      <c r="J771" t="s">
        <v>6</v>
      </c>
      <c r="K771" s="2">
        <f t="shared" si="37"/>
        <v>0</v>
      </c>
      <c r="L771" s="2">
        <f t="shared" si="38"/>
        <v>0</v>
      </c>
    </row>
    <row r="772" spans="1:12" x14ac:dyDescent="0.25">
      <c r="A772" t="s">
        <v>20</v>
      </c>
      <c r="B772" t="s">
        <v>21</v>
      </c>
      <c r="C772" t="s">
        <v>67</v>
      </c>
      <c r="D772" s="2">
        <v>60</v>
      </c>
      <c r="E772" s="2">
        <v>100</v>
      </c>
      <c r="F772">
        <v>2</v>
      </c>
      <c r="G772">
        <v>2</v>
      </c>
      <c r="H772">
        <f t="shared" si="36"/>
        <v>0</v>
      </c>
      <c r="I772" s="33">
        <v>44948</v>
      </c>
      <c r="J772" t="s">
        <v>6</v>
      </c>
      <c r="K772" s="2">
        <f t="shared" si="37"/>
        <v>0</v>
      </c>
      <c r="L772" s="2">
        <f t="shared" si="38"/>
        <v>0</v>
      </c>
    </row>
    <row r="773" spans="1:12" x14ac:dyDescent="0.25">
      <c r="A773" t="s">
        <v>22</v>
      </c>
      <c r="B773" t="s">
        <v>24</v>
      </c>
      <c r="C773" t="s">
        <v>68</v>
      </c>
      <c r="D773" s="2">
        <v>50</v>
      </c>
      <c r="E773" s="2">
        <v>70</v>
      </c>
      <c r="F773">
        <v>0</v>
      </c>
      <c r="G773">
        <v>0</v>
      </c>
      <c r="H773">
        <f t="shared" si="36"/>
        <v>0</v>
      </c>
      <c r="I773" s="33">
        <v>44948</v>
      </c>
      <c r="J773" t="s">
        <v>6</v>
      </c>
      <c r="K773" s="2">
        <f t="shared" si="37"/>
        <v>0</v>
      </c>
      <c r="L773" s="2">
        <f t="shared" si="38"/>
        <v>0</v>
      </c>
    </row>
    <row r="774" spans="1:12" x14ac:dyDescent="0.25">
      <c r="A774" t="s">
        <v>25</v>
      </c>
      <c r="B774" t="s">
        <v>24</v>
      </c>
      <c r="C774" t="s">
        <v>69</v>
      </c>
      <c r="D774" s="2">
        <v>45</v>
      </c>
      <c r="E774" s="2">
        <v>65</v>
      </c>
      <c r="F774">
        <v>0</v>
      </c>
      <c r="G774">
        <v>0</v>
      </c>
      <c r="H774">
        <f t="shared" si="36"/>
        <v>0</v>
      </c>
      <c r="I774" s="33">
        <v>44948</v>
      </c>
      <c r="J774" t="s">
        <v>6</v>
      </c>
      <c r="K774" s="2">
        <f t="shared" si="37"/>
        <v>0</v>
      </c>
      <c r="L774" s="2">
        <f t="shared" si="38"/>
        <v>0</v>
      </c>
    </row>
    <row r="775" spans="1:12" x14ac:dyDescent="0.25">
      <c r="A775" t="s">
        <v>26</v>
      </c>
      <c r="B775" t="s">
        <v>24</v>
      </c>
      <c r="C775" t="s">
        <v>70</v>
      </c>
      <c r="D775" s="2">
        <v>50</v>
      </c>
      <c r="E775" s="2">
        <v>70</v>
      </c>
      <c r="F775">
        <v>0</v>
      </c>
      <c r="G775">
        <v>0</v>
      </c>
      <c r="H775">
        <f t="shared" si="36"/>
        <v>0</v>
      </c>
      <c r="I775" s="33">
        <v>44948</v>
      </c>
      <c r="J775" t="s">
        <v>6</v>
      </c>
      <c r="K775" s="2">
        <f t="shared" si="37"/>
        <v>0</v>
      </c>
      <c r="L775" s="2">
        <f t="shared" si="38"/>
        <v>0</v>
      </c>
    </row>
    <row r="776" spans="1:12" x14ac:dyDescent="0.25">
      <c r="A776" t="s">
        <v>27</v>
      </c>
      <c r="B776" t="s">
        <v>24</v>
      </c>
      <c r="C776" t="s">
        <v>71</v>
      </c>
      <c r="D776" s="2">
        <v>10</v>
      </c>
      <c r="E776" s="2">
        <v>15</v>
      </c>
      <c r="F776">
        <v>7</v>
      </c>
      <c r="G776">
        <v>2</v>
      </c>
      <c r="H776">
        <f t="shared" si="36"/>
        <v>5</v>
      </c>
      <c r="I776" s="33">
        <v>44948</v>
      </c>
      <c r="J776" t="s">
        <v>6</v>
      </c>
      <c r="K776" s="2">
        <f t="shared" si="37"/>
        <v>75</v>
      </c>
      <c r="L776" s="2">
        <f t="shared" si="38"/>
        <v>25</v>
      </c>
    </row>
    <row r="777" spans="1:12" x14ac:dyDescent="0.25">
      <c r="A777" t="s">
        <v>28</v>
      </c>
      <c r="B777" t="s">
        <v>24</v>
      </c>
      <c r="C777" t="s">
        <v>72</v>
      </c>
      <c r="D777" s="2">
        <v>20</v>
      </c>
      <c r="E777" s="2">
        <v>25</v>
      </c>
      <c r="F777">
        <v>3</v>
      </c>
      <c r="G777">
        <v>1</v>
      </c>
      <c r="H777">
        <f t="shared" si="36"/>
        <v>2</v>
      </c>
      <c r="I777" s="33">
        <v>44948</v>
      </c>
      <c r="J777" t="s">
        <v>6</v>
      </c>
      <c r="K777" s="2">
        <f t="shared" si="37"/>
        <v>50</v>
      </c>
      <c r="L777" s="2">
        <f t="shared" si="38"/>
        <v>10</v>
      </c>
    </row>
    <row r="778" spans="1:12" x14ac:dyDescent="0.25">
      <c r="A778" t="s">
        <v>29</v>
      </c>
      <c r="B778" t="s">
        <v>30</v>
      </c>
      <c r="C778" t="s">
        <v>73</v>
      </c>
      <c r="D778" s="2">
        <v>25</v>
      </c>
      <c r="E778" s="2">
        <v>30</v>
      </c>
      <c r="F778">
        <v>10</v>
      </c>
      <c r="G778">
        <v>5</v>
      </c>
      <c r="H778">
        <f t="shared" si="36"/>
        <v>5</v>
      </c>
      <c r="I778" s="33">
        <v>44948</v>
      </c>
      <c r="J778" t="s">
        <v>6</v>
      </c>
      <c r="K778" s="2">
        <f t="shared" si="37"/>
        <v>150</v>
      </c>
      <c r="L778" s="2">
        <f t="shared" si="38"/>
        <v>25</v>
      </c>
    </row>
    <row r="779" spans="1:12" x14ac:dyDescent="0.25">
      <c r="A779" t="s">
        <v>31</v>
      </c>
      <c r="B779" t="s">
        <v>30</v>
      </c>
      <c r="C779" t="s">
        <v>74</v>
      </c>
      <c r="D779" s="2">
        <v>25</v>
      </c>
      <c r="E779" s="2">
        <v>30</v>
      </c>
      <c r="F779">
        <v>2</v>
      </c>
      <c r="G779">
        <v>2</v>
      </c>
      <c r="H779">
        <f t="shared" si="36"/>
        <v>0</v>
      </c>
      <c r="I779" s="33">
        <v>44948</v>
      </c>
      <c r="J779" t="s">
        <v>6</v>
      </c>
      <c r="K779" s="2">
        <f t="shared" si="37"/>
        <v>0</v>
      </c>
      <c r="L779" s="2">
        <f t="shared" si="38"/>
        <v>0</v>
      </c>
    </row>
    <row r="780" spans="1:12" x14ac:dyDescent="0.25">
      <c r="A780" t="s">
        <v>32</v>
      </c>
      <c r="B780" t="s">
        <v>30</v>
      </c>
      <c r="C780" t="s">
        <v>75</v>
      </c>
      <c r="D780" s="2">
        <v>25</v>
      </c>
      <c r="E780" s="2">
        <v>30</v>
      </c>
      <c r="F780">
        <v>5</v>
      </c>
      <c r="G780">
        <v>3</v>
      </c>
      <c r="H780">
        <f t="shared" si="36"/>
        <v>2</v>
      </c>
      <c r="I780" s="33">
        <v>44948</v>
      </c>
      <c r="J780" t="s">
        <v>6</v>
      </c>
      <c r="K780" s="2">
        <f t="shared" si="37"/>
        <v>60</v>
      </c>
      <c r="L780" s="2">
        <f t="shared" si="38"/>
        <v>10</v>
      </c>
    </row>
    <row r="781" spans="1:12" x14ac:dyDescent="0.25">
      <c r="A781" t="s">
        <v>33</v>
      </c>
      <c r="B781" t="s">
        <v>30</v>
      </c>
      <c r="C781" t="s">
        <v>76</v>
      </c>
      <c r="D781" s="2">
        <v>30</v>
      </c>
      <c r="E781" s="2">
        <v>35</v>
      </c>
      <c r="F781">
        <v>10</v>
      </c>
      <c r="G781">
        <v>7</v>
      </c>
      <c r="H781">
        <f t="shared" si="36"/>
        <v>3</v>
      </c>
      <c r="I781" s="33">
        <v>44948</v>
      </c>
      <c r="J781" t="s">
        <v>6</v>
      </c>
      <c r="K781" s="2">
        <f t="shared" si="37"/>
        <v>105</v>
      </c>
      <c r="L781" s="2">
        <f t="shared" si="38"/>
        <v>15</v>
      </c>
    </row>
    <row r="782" spans="1:12" x14ac:dyDescent="0.25">
      <c r="A782" t="s">
        <v>2</v>
      </c>
      <c r="B782" t="s">
        <v>3</v>
      </c>
      <c r="C782" t="s">
        <v>48</v>
      </c>
      <c r="D782" s="2">
        <v>100</v>
      </c>
      <c r="E782" s="2">
        <v>200</v>
      </c>
      <c r="F782">
        <v>0</v>
      </c>
      <c r="G782">
        <v>1</v>
      </c>
      <c r="H782">
        <f t="shared" si="36"/>
        <v>-1</v>
      </c>
      <c r="I782" s="33">
        <v>44949</v>
      </c>
      <c r="J782" t="s">
        <v>10</v>
      </c>
      <c r="K782" s="2">
        <f t="shared" si="37"/>
        <v>-200</v>
      </c>
      <c r="L782" s="2">
        <f t="shared" si="38"/>
        <v>-100</v>
      </c>
    </row>
    <row r="783" spans="1:12" x14ac:dyDescent="0.25">
      <c r="A783" t="s">
        <v>7</v>
      </c>
      <c r="B783" t="s">
        <v>3</v>
      </c>
      <c r="C783" t="s">
        <v>77</v>
      </c>
      <c r="D783" s="2">
        <v>200</v>
      </c>
      <c r="E783" s="2">
        <v>300</v>
      </c>
      <c r="F783">
        <v>2</v>
      </c>
      <c r="G783">
        <v>2</v>
      </c>
      <c r="H783">
        <f t="shared" si="36"/>
        <v>0</v>
      </c>
      <c r="I783" s="33">
        <v>44949</v>
      </c>
      <c r="J783" t="s">
        <v>10</v>
      </c>
      <c r="K783" s="2">
        <f t="shared" si="37"/>
        <v>0</v>
      </c>
      <c r="L783" s="2">
        <f t="shared" si="38"/>
        <v>0</v>
      </c>
    </row>
    <row r="784" spans="1:12" x14ac:dyDescent="0.25">
      <c r="A784" t="s">
        <v>23</v>
      </c>
      <c r="B784" t="s">
        <v>3</v>
      </c>
      <c r="C784" t="s">
        <v>52</v>
      </c>
      <c r="D784" s="2">
        <v>150</v>
      </c>
      <c r="E784" s="2">
        <v>250</v>
      </c>
      <c r="F784">
        <v>2</v>
      </c>
      <c r="G784">
        <v>2</v>
      </c>
      <c r="H784">
        <f t="shared" si="36"/>
        <v>0</v>
      </c>
      <c r="I784" s="33">
        <v>44949</v>
      </c>
      <c r="J784" t="s">
        <v>10</v>
      </c>
      <c r="K784" s="2">
        <f t="shared" si="37"/>
        <v>0</v>
      </c>
      <c r="L784" s="2">
        <f t="shared" si="38"/>
        <v>0</v>
      </c>
    </row>
    <row r="785" spans="1:12" x14ac:dyDescent="0.25">
      <c r="A785" t="s">
        <v>9</v>
      </c>
      <c r="B785" t="s">
        <v>3</v>
      </c>
      <c r="C785" t="s">
        <v>53</v>
      </c>
      <c r="D785" s="2">
        <v>100</v>
      </c>
      <c r="E785" s="2">
        <v>200</v>
      </c>
      <c r="F785">
        <v>1</v>
      </c>
      <c r="G785">
        <v>0</v>
      </c>
      <c r="H785">
        <f t="shared" si="36"/>
        <v>1</v>
      </c>
      <c r="I785" s="33">
        <v>44949</v>
      </c>
      <c r="J785" t="s">
        <v>10</v>
      </c>
      <c r="K785" s="2">
        <f t="shared" si="37"/>
        <v>200</v>
      </c>
      <c r="L785" s="2">
        <f t="shared" si="38"/>
        <v>100</v>
      </c>
    </row>
    <row r="786" spans="1:12" x14ac:dyDescent="0.25">
      <c r="A786" t="s">
        <v>2</v>
      </c>
      <c r="B786" t="s">
        <v>12</v>
      </c>
      <c r="C786" t="s">
        <v>49</v>
      </c>
      <c r="D786" s="2">
        <v>250</v>
      </c>
      <c r="E786" s="2">
        <v>350</v>
      </c>
      <c r="F786">
        <v>2</v>
      </c>
      <c r="G786">
        <v>2</v>
      </c>
      <c r="H786">
        <f t="shared" si="36"/>
        <v>0</v>
      </c>
      <c r="I786" s="33">
        <v>44949</v>
      </c>
      <c r="J786" t="s">
        <v>10</v>
      </c>
      <c r="K786" s="2">
        <f t="shared" si="37"/>
        <v>0</v>
      </c>
      <c r="L786" s="2">
        <f t="shared" si="38"/>
        <v>0</v>
      </c>
    </row>
    <row r="787" spans="1:12" x14ac:dyDescent="0.25">
      <c r="A787" t="s">
        <v>7</v>
      </c>
      <c r="B787" t="s">
        <v>12</v>
      </c>
      <c r="C787" t="s">
        <v>54</v>
      </c>
      <c r="D787" s="2">
        <v>300</v>
      </c>
      <c r="E787" s="2">
        <v>400</v>
      </c>
      <c r="F787">
        <v>1</v>
      </c>
      <c r="G787">
        <v>1</v>
      </c>
      <c r="H787">
        <f t="shared" si="36"/>
        <v>0</v>
      </c>
      <c r="I787" s="33">
        <v>44949</v>
      </c>
      <c r="J787" t="s">
        <v>10</v>
      </c>
      <c r="K787" s="2">
        <f t="shared" si="37"/>
        <v>0</v>
      </c>
      <c r="L787" s="2">
        <f t="shared" si="38"/>
        <v>0</v>
      </c>
    </row>
    <row r="788" spans="1:12" x14ac:dyDescent="0.25">
      <c r="A788" t="s">
        <v>8</v>
      </c>
      <c r="B788" t="s">
        <v>12</v>
      </c>
      <c r="C788" t="s">
        <v>55</v>
      </c>
      <c r="D788" s="2">
        <v>250</v>
      </c>
      <c r="E788" s="2">
        <v>350</v>
      </c>
      <c r="F788">
        <v>2</v>
      </c>
      <c r="G788">
        <v>2</v>
      </c>
      <c r="H788">
        <f t="shared" si="36"/>
        <v>0</v>
      </c>
      <c r="I788" s="33">
        <v>44949</v>
      </c>
      <c r="J788" t="s">
        <v>10</v>
      </c>
      <c r="K788" s="2">
        <f t="shared" si="37"/>
        <v>0</v>
      </c>
      <c r="L788" s="2">
        <f t="shared" si="38"/>
        <v>0</v>
      </c>
    </row>
    <row r="789" spans="1:12" x14ac:dyDescent="0.25">
      <c r="A789" t="s">
        <v>9</v>
      </c>
      <c r="B789" t="s">
        <v>12</v>
      </c>
      <c r="C789" t="s">
        <v>56</v>
      </c>
      <c r="D789" s="2">
        <v>250</v>
      </c>
      <c r="E789" s="2">
        <v>350</v>
      </c>
      <c r="F789">
        <v>1</v>
      </c>
      <c r="G789">
        <v>0</v>
      </c>
      <c r="H789">
        <f t="shared" si="36"/>
        <v>1</v>
      </c>
      <c r="I789" s="33">
        <v>44949</v>
      </c>
      <c r="J789" t="s">
        <v>10</v>
      </c>
      <c r="K789" s="2">
        <f t="shared" si="37"/>
        <v>350</v>
      </c>
      <c r="L789" s="2">
        <f t="shared" si="38"/>
        <v>100</v>
      </c>
    </row>
    <row r="790" spans="1:12" x14ac:dyDescent="0.25">
      <c r="A790" t="s">
        <v>13</v>
      </c>
      <c r="B790" t="s">
        <v>12</v>
      </c>
      <c r="C790" t="s">
        <v>57</v>
      </c>
      <c r="D790" s="2">
        <v>300</v>
      </c>
      <c r="E790" s="2">
        <v>450</v>
      </c>
      <c r="F790">
        <v>1</v>
      </c>
      <c r="G790">
        <v>1</v>
      </c>
      <c r="H790">
        <f t="shared" si="36"/>
        <v>0</v>
      </c>
      <c r="I790" s="33">
        <v>44949</v>
      </c>
      <c r="J790" t="s">
        <v>10</v>
      </c>
      <c r="K790" s="2">
        <f t="shared" si="37"/>
        <v>0</v>
      </c>
      <c r="L790" s="2">
        <f t="shared" si="38"/>
        <v>0</v>
      </c>
    </row>
    <row r="791" spans="1:12" x14ac:dyDescent="0.25">
      <c r="A791" t="s">
        <v>14</v>
      </c>
      <c r="B791" t="s">
        <v>16</v>
      </c>
      <c r="C791" t="s">
        <v>50</v>
      </c>
      <c r="D791" s="2">
        <v>320</v>
      </c>
      <c r="E791" s="2">
        <v>400</v>
      </c>
      <c r="F791">
        <v>0</v>
      </c>
      <c r="G791">
        <v>0</v>
      </c>
      <c r="H791">
        <f t="shared" si="36"/>
        <v>0</v>
      </c>
      <c r="I791" s="33">
        <v>44949</v>
      </c>
      <c r="J791" t="s">
        <v>10</v>
      </c>
      <c r="K791" s="2">
        <f t="shared" si="37"/>
        <v>0</v>
      </c>
      <c r="L791" s="2">
        <f t="shared" si="38"/>
        <v>0</v>
      </c>
    </row>
    <row r="792" spans="1:12" x14ac:dyDescent="0.25">
      <c r="A792" t="s">
        <v>15</v>
      </c>
      <c r="B792" t="s">
        <v>16</v>
      </c>
      <c r="C792" t="s">
        <v>58</v>
      </c>
      <c r="D792" s="2">
        <v>100</v>
      </c>
      <c r="E792" s="2">
        <v>150</v>
      </c>
      <c r="F792">
        <v>3</v>
      </c>
      <c r="G792">
        <v>3</v>
      </c>
      <c r="H792">
        <f t="shared" si="36"/>
        <v>0</v>
      </c>
      <c r="I792" s="33">
        <v>44949</v>
      </c>
      <c r="J792" t="s">
        <v>10</v>
      </c>
      <c r="K792" s="2">
        <f t="shared" si="37"/>
        <v>0</v>
      </c>
      <c r="L792" s="2">
        <f t="shared" si="38"/>
        <v>0</v>
      </c>
    </row>
    <row r="793" spans="1:12" x14ac:dyDescent="0.25">
      <c r="A793" t="s">
        <v>2</v>
      </c>
      <c r="B793" t="s">
        <v>21</v>
      </c>
      <c r="C793" t="s">
        <v>51</v>
      </c>
      <c r="D793" s="2">
        <v>25</v>
      </c>
      <c r="E793" s="2">
        <v>40</v>
      </c>
      <c r="F793">
        <v>8</v>
      </c>
      <c r="G793">
        <v>8</v>
      </c>
      <c r="H793">
        <f t="shared" si="36"/>
        <v>0</v>
      </c>
      <c r="I793" s="33">
        <v>44949</v>
      </c>
      <c r="J793" t="s">
        <v>10</v>
      </c>
      <c r="K793" s="2">
        <f t="shared" si="37"/>
        <v>0</v>
      </c>
      <c r="L793" s="2">
        <f t="shared" si="38"/>
        <v>0</v>
      </c>
    </row>
    <row r="794" spans="1:12" x14ac:dyDescent="0.25">
      <c r="A794" t="s">
        <v>7</v>
      </c>
      <c r="B794" t="s">
        <v>21</v>
      </c>
      <c r="C794" t="s">
        <v>59</v>
      </c>
      <c r="D794" s="2">
        <v>30</v>
      </c>
      <c r="E794" s="2">
        <v>50</v>
      </c>
      <c r="F794">
        <v>10</v>
      </c>
      <c r="G794">
        <v>6</v>
      </c>
      <c r="H794">
        <f t="shared" si="36"/>
        <v>4</v>
      </c>
      <c r="I794" s="33">
        <v>44949</v>
      </c>
      <c r="J794" t="s">
        <v>10</v>
      </c>
      <c r="K794" s="2">
        <f t="shared" si="37"/>
        <v>200</v>
      </c>
      <c r="L794" s="2">
        <f t="shared" si="38"/>
        <v>80</v>
      </c>
    </row>
    <row r="795" spans="1:12" x14ac:dyDescent="0.25">
      <c r="A795" t="s">
        <v>9</v>
      </c>
      <c r="B795" t="s">
        <v>21</v>
      </c>
      <c r="C795" t="s">
        <v>60</v>
      </c>
      <c r="D795" s="2">
        <v>25</v>
      </c>
      <c r="E795" s="2">
        <v>40</v>
      </c>
      <c r="F795">
        <v>6</v>
      </c>
      <c r="G795">
        <v>5</v>
      </c>
      <c r="H795">
        <f t="shared" si="36"/>
        <v>1</v>
      </c>
      <c r="I795" s="33">
        <v>44949</v>
      </c>
      <c r="J795" t="s">
        <v>10</v>
      </c>
      <c r="K795" s="2">
        <f t="shared" si="37"/>
        <v>40</v>
      </c>
      <c r="L795" s="2">
        <f t="shared" si="38"/>
        <v>15</v>
      </c>
    </row>
    <row r="796" spans="1:12" x14ac:dyDescent="0.25">
      <c r="A796" t="s">
        <v>23</v>
      </c>
      <c r="B796" t="s">
        <v>21</v>
      </c>
      <c r="C796" t="s">
        <v>61</v>
      </c>
      <c r="D796" s="2">
        <v>25</v>
      </c>
      <c r="E796" s="2">
        <v>40</v>
      </c>
      <c r="F796">
        <v>14</v>
      </c>
      <c r="G796">
        <v>11</v>
      </c>
      <c r="H796">
        <f t="shared" si="36"/>
        <v>3</v>
      </c>
      <c r="I796" s="33">
        <v>44949</v>
      </c>
      <c r="J796" t="s">
        <v>10</v>
      </c>
      <c r="K796" s="2">
        <f t="shared" si="37"/>
        <v>120</v>
      </c>
      <c r="L796" s="2">
        <f t="shared" si="38"/>
        <v>45</v>
      </c>
    </row>
    <row r="797" spans="1:12" x14ac:dyDescent="0.25">
      <c r="A797" t="s">
        <v>13</v>
      </c>
      <c r="B797" t="s">
        <v>21</v>
      </c>
      <c r="C797" t="s">
        <v>62</v>
      </c>
      <c r="D797" s="2">
        <v>30</v>
      </c>
      <c r="E797" s="2">
        <v>55</v>
      </c>
      <c r="F797">
        <v>0</v>
      </c>
      <c r="G797">
        <v>0</v>
      </c>
      <c r="H797">
        <f t="shared" si="36"/>
        <v>0</v>
      </c>
      <c r="I797" s="33">
        <v>44949</v>
      </c>
      <c r="J797" t="s">
        <v>10</v>
      </c>
      <c r="K797" s="2">
        <f t="shared" si="37"/>
        <v>0</v>
      </c>
      <c r="L797" s="2">
        <f t="shared" si="38"/>
        <v>0</v>
      </c>
    </row>
    <row r="798" spans="1:12" x14ac:dyDescent="0.25">
      <c r="A798" t="s">
        <v>17</v>
      </c>
      <c r="B798" t="s">
        <v>21</v>
      </c>
      <c r="C798" t="s">
        <v>63</v>
      </c>
      <c r="D798" s="2">
        <v>40</v>
      </c>
      <c r="E798" s="2">
        <v>65</v>
      </c>
      <c r="F798">
        <v>15</v>
      </c>
      <c r="G798">
        <v>10</v>
      </c>
      <c r="H798">
        <f t="shared" si="36"/>
        <v>5</v>
      </c>
      <c r="I798" s="33">
        <v>44949</v>
      </c>
      <c r="J798" t="s">
        <v>10</v>
      </c>
      <c r="K798" s="2">
        <f t="shared" si="37"/>
        <v>325</v>
      </c>
      <c r="L798" s="2">
        <f t="shared" si="38"/>
        <v>125</v>
      </c>
    </row>
    <row r="799" spans="1:12" x14ac:dyDescent="0.25">
      <c r="A799" t="s">
        <v>34</v>
      </c>
      <c r="B799" t="s">
        <v>21</v>
      </c>
      <c r="C799" t="s">
        <v>64</v>
      </c>
      <c r="D799" s="2">
        <v>50</v>
      </c>
      <c r="E799" s="2">
        <v>70</v>
      </c>
      <c r="F799">
        <v>0</v>
      </c>
      <c r="G799">
        <v>0</v>
      </c>
      <c r="H799">
        <f t="shared" si="36"/>
        <v>0</v>
      </c>
      <c r="I799" s="33">
        <v>44949</v>
      </c>
      <c r="J799" t="s">
        <v>10</v>
      </c>
      <c r="K799" s="2">
        <f t="shared" si="37"/>
        <v>0</v>
      </c>
      <c r="L799" s="2">
        <f t="shared" si="38"/>
        <v>0</v>
      </c>
    </row>
    <row r="800" spans="1:12" x14ac:dyDescent="0.25">
      <c r="A800" t="s">
        <v>18</v>
      </c>
      <c r="B800" t="s">
        <v>21</v>
      </c>
      <c r="C800" t="s">
        <v>65</v>
      </c>
      <c r="D800" s="2">
        <v>20</v>
      </c>
      <c r="E800" s="2">
        <v>30</v>
      </c>
      <c r="F800">
        <v>10</v>
      </c>
      <c r="G800">
        <v>8</v>
      </c>
      <c r="H800">
        <f t="shared" si="36"/>
        <v>2</v>
      </c>
      <c r="I800" s="33">
        <v>44949</v>
      </c>
      <c r="J800" t="s">
        <v>10</v>
      </c>
      <c r="K800" s="2">
        <f t="shared" si="37"/>
        <v>60</v>
      </c>
      <c r="L800" s="2">
        <f t="shared" si="38"/>
        <v>20</v>
      </c>
    </row>
    <row r="801" spans="1:12" x14ac:dyDescent="0.25">
      <c r="A801" t="s">
        <v>19</v>
      </c>
      <c r="B801" t="s">
        <v>21</v>
      </c>
      <c r="C801" t="s">
        <v>66</v>
      </c>
      <c r="D801" s="2">
        <v>10</v>
      </c>
      <c r="E801" s="2">
        <v>20</v>
      </c>
      <c r="F801">
        <v>4</v>
      </c>
      <c r="G801">
        <v>4</v>
      </c>
      <c r="H801">
        <f t="shared" si="36"/>
        <v>0</v>
      </c>
      <c r="I801" s="33">
        <v>44949</v>
      </c>
      <c r="J801" t="s">
        <v>10</v>
      </c>
      <c r="K801" s="2">
        <f t="shared" si="37"/>
        <v>0</v>
      </c>
      <c r="L801" s="2">
        <f t="shared" si="38"/>
        <v>0</v>
      </c>
    </row>
    <row r="802" spans="1:12" x14ac:dyDescent="0.25">
      <c r="A802" t="s">
        <v>20</v>
      </c>
      <c r="B802" t="s">
        <v>21</v>
      </c>
      <c r="C802" t="s">
        <v>67</v>
      </c>
      <c r="D802" s="2">
        <v>60</v>
      </c>
      <c r="E802" s="2">
        <v>100</v>
      </c>
      <c r="F802">
        <v>2</v>
      </c>
      <c r="G802">
        <v>1</v>
      </c>
      <c r="H802">
        <f t="shared" si="36"/>
        <v>1</v>
      </c>
      <c r="I802" s="33">
        <v>44949</v>
      </c>
      <c r="J802" t="s">
        <v>10</v>
      </c>
      <c r="K802" s="2">
        <f t="shared" si="37"/>
        <v>100</v>
      </c>
      <c r="L802" s="2">
        <f t="shared" si="38"/>
        <v>40</v>
      </c>
    </row>
    <row r="803" spans="1:12" x14ac:dyDescent="0.25">
      <c r="A803" t="s">
        <v>22</v>
      </c>
      <c r="B803" t="s">
        <v>24</v>
      </c>
      <c r="C803" t="s">
        <v>68</v>
      </c>
      <c r="D803" s="2">
        <v>50</v>
      </c>
      <c r="E803" s="2">
        <v>70</v>
      </c>
      <c r="F803">
        <v>0</v>
      </c>
      <c r="G803">
        <v>0</v>
      </c>
      <c r="H803">
        <f t="shared" si="36"/>
        <v>0</v>
      </c>
      <c r="I803" s="33">
        <v>44949</v>
      </c>
      <c r="J803" t="s">
        <v>10</v>
      </c>
      <c r="K803" s="2">
        <f t="shared" si="37"/>
        <v>0</v>
      </c>
      <c r="L803" s="2">
        <f t="shared" si="38"/>
        <v>0</v>
      </c>
    </row>
    <row r="804" spans="1:12" x14ac:dyDescent="0.25">
      <c r="A804" t="s">
        <v>25</v>
      </c>
      <c r="B804" t="s">
        <v>24</v>
      </c>
      <c r="C804" t="s">
        <v>69</v>
      </c>
      <c r="D804" s="2">
        <v>45</v>
      </c>
      <c r="E804" s="2">
        <v>65</v>
      </c>
      <c r="F804">
        <v>0</v>
      </c>
      <c r="G804">
        <v>0</v>
      </c>
      <c r="H804">
        <f t="shared" si="36"/>
        <v>0</v>
      </c>
      <c r="I804" s="33">
        <v>44949</v>
      </c>
      <c r="J804" t="s">
        <v>10</v>
      </c>
      <c r="K804" s="2">
        <f t="shared" si="37"/>
        <v>0</v>
      </c>
      <c r="L804" s="2">
        <f t="shared" si="38"/>
        <v>0</v>
      </c>
    </row>
    <row r="805" spans="1:12" x14ac:dyDescent="0.25">
      <c r="A805" t="s">
        <v>26</v>
      </c>
      <c r="B805" t="s">
        <v>24</v>
      </c>
      <c r="C805" t="s">
        <v>70</v>
      </c>
      <c r="D805" s="2">
        <v>50</v>
      </c>
      <c r="E805" s="2">
        <v>70</v>
      </c>
      <c r="F805">
        <v>0</v>
      </c>
      <c r="G805">
        <v>0</v>
      </c>
      <c r="H805">
        <f t="shared" si="36"/>
        <v>0</v>
      </c>
      <c r="I805" s="33">
        <v>44949</v>
      </c>
      <c r="J805" t="s">
        <v>10</v>
      </c>
      <c r="K805" s="2">
        <f t="shared" si="37"/>
        <v>0</v>
      </c>
      <c r="L805" s="2">
        <f t="shared" si="38"/>
        <v>0</v>
      </c>
    </row>
    <row r="806" spans="1:12" x14ac:dyDescent="0.25">
      <c r="A806" t="s">
        <v>27</v>
      </c>
      <c r="B806" t="s">
        <v>24</v>
      </c>
      <c r="C806" t="s">
        <v>71</v>
      </c>
      <c r="D806" s="2">
        <v>10</v>
      </c>
      <c r="E806" s="2">
        <v>15</v>
      </c>
      <c r="F806">
        <v>7</v>
      </c>
      <c r="G806">
        <v>5</v>
      </c>
      <c r="H806">
        <f t="shared" si="36"/>
        <v>2</v>
      </c>
      <c r="I806" s="33">
        <v>44949</v>
      </c>
      <c r="J806" t="s">
        <v>10</v>
      </c>
      <c r="K806" s="2">
        <f t="shared" si="37"/>
        <v>30</v>
      </c>
      <c r="L806" s="2">
        <f t="shared" si="38"/>
        <v>10</v>
      </c>
    </row>
    <row r="807" spans="1:12" x14ac:dyDescent="0.25">
      <c r="A807" t="s">
        <v>28</v>
      </c>
      <c r="B807" t="s">
        <v>24</v>
      </c>
      <c r="C807" t="s">
        <v>72</v>
      </c>
      <c r="D807" s="2">
        <v>20</v>
      </c>
      <c r="E807" s="2">
        <v>25</v>
      </c>
      <c r="F807">
        <v>6</v>
      </c>
      <c r="G807">
        <v>2</v>
      </c>
      <c r="H807">
        <f t="shared" si="36"/>
        <v>4</v>
      </c>
      <c r="I807" s="33">
        <v>44949</v>
      </c>
      <c r="J807" t="s">
        <v>10</v>
      </c>
      <c r="K807" s="2">
        <f t="shared" si="37"/>
        <v>100</v>
      </c>
      <c r="L807" s="2">
        <f t="shared" si="38"/>
        <v>20</v>
      </c>
    </row>
    <row r="808" spans="1:12" x14ac:dyDescent="0.25">
      <c r="A808" t="s">
        <v>29</v>
      </c>
      <c r="B808" t="s">
        <v>30</v>
      </c>
      <c r="C808" t="s">
        <v>73</v>
      </c>
      <c r="D808" s="2">
        <v>25</v>
      </c>
      <c r="E808" s="2">
        <v>30</v>
      </c>
      <c r="F808">
        <v>10</v>
      </c>
      <c r="G808">
        <v>6</v>
      </c>
      <c r="H808">
        <f t="shared" si="36"/>
        <v>4</v>
      </c>
      <c r="I808" s="33">
        <v>44949</v>
      </c>
      <c r="J808" t="s">
        <v>10</v>
      </c>
      <c r="K808" s="2">
        <f t="shared" si="37"/>
        <v>120</v>
      </c>
      <c r="L808" s="2">
        <f t="shared" si="38"/>
        <v>20</v>
      </c>
    </row>
    <row r="809" spans="1:12" x14ac:dyDescent="0.25">
      <c r="A809" t="s">
        <v>31</v>
      </c>
      <c r="B809" t="s">
        <v>30</v>
      </c>
      <c r="C809" t="s">
        <v>74</v>
      </c>
      <c r="D809" s="2">
        <v>25</v>
      </c>
      <c r="E809" s="2">
        <v>30</v>
      </c>
      <c r="F809">
        <v>2</v>
      </c>
      <c r="G809">
        <v>1</v>
      </c>
      <c r="H809">
        <f t="shared" si="36"/>
        <v>1</v>
      </c>
      <c r="I809" s="33">
        <v>44949</v>
      </c>
      <c r="J809" t="s">
        <v>10</v>
      </c>
      <c r="K809" s="2">
        <f t="shared" si="37"/>
        <v>30</v>
      </c>
      <c r="L809" s="2">
        <f t="shared" si="38"/>
        <v>5</v>
      </c>
    </row>
    <row r="810" spans="1:12" x14ac:dyDescent="0.25">
      <c r="A810" t="s">
        <v>32</v>
      </c>
      <c r="B810" t="s">
        <v>30</v>
      </c>
      <c r="C810" t="s">
        <v>75</v>
      </c>
      <c r="D810" s="2">
        <v>25</v>
      </c>
      <c r="E810" s="2">
        <v>30</v>
      </c>
      <c r="F810">
        <v>3</v>
      </c>
      <c r="G810">
        <v>1</v>
      </c>
      <c r="H810">
        <f t="shared" si="36"/>
        <v>2</v>
      </c>
      <c r="I810" s="33">
        <v>44949</v>
      </c>
      <c r="J810" t="s">
        <v>10</v>
      </c>
      <c r="K810" s="2">
        <f t="shared" si="37"/>
        <v>60</v>
      </c>
      <c r="L810" s="2">
        <f t="shared" si="38"/>
        <v>10</v>
      </c>
    </row>
    <row r="811" spans="1:12" x14ac:dyDescent="0.25">
      <c r="A811" t="s">
        <v>33</v>
      </c>
      <c r="B811" t="s">
        <v>30</v>
      </c>
      <c r="C811" t="s">
        <v>76</v>
      </c>
      <c r="D811" s="2">
        <v>30</v>
      </c>
      <c r="E811" s="2">
        <v>35</v>
      </c>
      <c r="F811">
        <v>12</v>
      </c>
      <c r="G811">
        <v>3</v>
      </c>
      <c r="H811">
        <f t="shared" si="36"/>
        <v>9</v>
      </c>
      <c r="I811" s="33">
        <v>44949</v>
      </c>
      <c r="J811" t="s">
        <v>10</v>
      </c>
      <c r="K811" s="2">
        <f t="shared" si="37"/>
        <v>315</v>
      </c>
      <c r="L811" s="2">
        <f t="shared" si="38"/>
        <v>45</v>
      </c>
    </row>
    <row r="812" spans="1:12" x14ac:dyDescent="0.25">
      <c r="A812" t="s">
        <v>2</v>
      </c>
      <c r="B812" t="s">
        <v>3</v>
      </c>
      <c r="C812" t="s">
        <v>48</v>
      </c>
      <c r="D812" s="2">
        <v>100</v>
      </c>
      <c r="E812" s="2">
        <v>200</v>
      </c>
      <c r="F812">
        <v>4</v>
      </c>
      <c r="G812">
        <f t="array" aca="1" ref="G812" ca="1">G812:G841</f>
        <v>0</v>
      </c>
      <c r="H812">
        <f t="shared" ca="1" si="36"/>
        <v>2</v>
      </c>
      <c r="I812" s="33">
        <v>44951</v>
      </c>
      <c r="J812" t="s">
        <v>35</v>
      </c>
      <c r="K812" s="2">
        <f t="shared" ca="1" si="37"/>
        <v>400</v>
      </c>
      <c r="L812" s="2">
        <f t="shared" ca="1" si="38"/>
        <v>200</v>
      </c>
    </row>
    <row r="813" spans="1:12" x14ac:dyDescent="0.25">
      <c r="A813" t="s">
        <v>7</v>
      </c>
      <c r="B813" t="s">
        <v>3</v>
      </c>
      <c r="C813" t="s">
        <v>77</v>
      </c>
      <c r="D813" s="2">
        <v>200</v>
      </c>
      <c r="E813" s="2">
        <v>300</v>
      </c>
      <c r="F813">
        <v>4</v>
      </c>
      <c r="G813">
        <v>2</v>
      </c>
      <c r="H813">
        <f t="shared" si="36"/>
        <v>2</v>
      </c>
      <c r="I813" s="33">
        <v>44951</v>
      </c>
      <c r="J813" t="s">
        <v>35</v>
      </c>
      <c r="K813" s="2">
        <f t="shared" si="37"/>
        <v>600</v>
      </c>
      <c r="L813" s="2">
        <f t="shared" si="38"/>
        <v>200</v>
      </c>
    </row>
    <row r="814" spans="1:12" x14ac:dyDescent="0.25">
      <c r="A814" t="s">
        <v>23</v>
      </c>
      <c r="B814" t="s">
        <v>3</v>
      </c>
      <c r="C814" t="s">
        <v>52</v>
      </c>
      <c r="D814" s="2">
        <v>150</v>
      </c>
      <c r="E814" s="2">
        <v>250</v>
      </c>
      <c r="F814">
        <v>4</v>
      </c>
      <c r="G814">
        <v>1</v>
      </c>
      <c r="H814">
        <f t="shared" si="36"/>
        <v>3</v>
      </c>
      <c r="I814" s="33">
        <v>44951</v>
      </c>
      <c r="J814" t="s">
        <v>35</v>
      </c>
      <c r="K814" s="2">
        <f t="shared" si="37"/>
        <v>750</v>
      </c>
      <c r="L814" s="2">
        <f t="shared" si="38"/>
        <v>300</v>
      </c>
    </row>
    <row r="815" spans="1:12" x14ac:dyDescent="0.25">
      <c r="A815" t="s">
        <v>9</v>
      </c>
      <c r="B815" t="s">
        <v>3</v>
      </c>
      <c r="C815" t="s">
        <v>53</v>
      </c>
      <c r="D815" s="2">
        <v>100</v>
      </c>
      <c r="E815" s="2">
        <v>200</v>
      </c>
      <c r="F815">
        <v>2</v>
      </c>
      <c r="G815">
        <v>1</v>
      </c>
      <c r="H815">
        <f t="shared" si="36"/>
        <v>1</v>
      </c>
      <c r="I815" s="33">
        <v>44951</v>
      </c>
      <c r="J815" t="s">
        <v>35</v>
      </c>
      <c r="K815" s="2">
        <f t="shared" si="37"/>
        <v>200</v>
      </c>
      <c r="L815" s="2">
        <f t="shared" si="38"/>
        <v>100</v>
      </c>
    </row>
    <row r="816" spans="1:12" x14ac:dyDescent="0.25">
      <c r="A816" t="s">
        <v>2</v>
      </c>
      <c r="B816" t="s">
        <v>12</v>
      </c>
      <c r="C816" t="s">
        <v>49</v>
      </c>
      <c r="D816" s="2">
        <v>250</v>
      </c>
      <c r="E816" s="2">
        <v>350</v>
      </c>
      <c r="F816">
        <v>2</v>
      </c>
      <c r="G816">
        <v>2</v>
      </c>
      <c r="H816">
        <f t="shared" si="36"/>
        <v>0</v>
      </c>
      <c r="I816" s="33">
        <v>44951</v>
      </c>
      <c r="J816" t="s">
        <v>35</v>
      </c>
      <c r="K816" s="2">
        <f t="shared" si="37"/>
        <v>0</v>
      </c>
      <c r="L816" s="2">
        <f t="shared" si="38"/>
        <v>0</v>
      </c>
    </row>
    <row r="817" spans="1:12" x14ac:dyDescent="0.25">
      <c r="A817" t="s">
        <v>7</v>
      </c>
      <c r="B817" t="s">
        <v>12</v>
      </c>
      <c r="C817" t="s">
        <v>54</v>
      </c>
      <c r="D817" s="2">
        <v>300</v>
      </c>
      <c r="E817" s="2">
        <v>400</v>
      </c>
      <c r="F817">
        <v>1</v>
      </c>
      <c r="G817">
        <v>1</v>
      </c>
      <c r="H817">
        <f t="shared" si="36"/>
        <v>0</v>
      </c>
      <c r="I817" s="33">
        <v>44951</v>
      </c>
      <c r="J817" t="s">
        <v>35</v>
      </c>
      <c r="K817" s="2">
        <f t="shared" si="37"/>
        <v>0</v>
      </c>
      <c r="L817" s="2">
        <f t="shared" si="38"/>
        <v>0</v>
      </c>
    </row>
    <row r="818" spans="1:12" x14ac:dyDescent="0.25">
      <c r="A818" t="s">
        <v>8</v>
      </c>
      <c r="B818" t="s">
        <v>12</v>
      </c>
      <c r="C818" t="s">
        <v>55</v>
      </c>
      <c r="D818" s="2">
        <v>250</v>
      </c>
      <c r="E818" s="2">
        <v>350</v>
      </c>
      <c r="F818">
        <v>2</v>
      </c>
      <c r="G818">
        <v>1</v>
      </c>
      <c r="H818">
        <f t="shared" si="36"/>
        <v>1</v>
      </c>
      <c r="I818" s="33">
        <v>44951</v>
      </c>
      <c r="J818" t="s">
        <v>35</v>
      </c>
      <c r="K818" s="2">
        <f t="shared" si="37"/>
        <v>350</v>
      </c>
      <c r="L818" s="2">
        <f t="shared" si="38"/>
        <v>100</v>
      </c>
    </row>
    <row r="819" spans="1:12" x14ac:dyDescent="0.25">
      <c r="A819" t="s">
        <v>9</v>
      </c>
      <c r="B819" t="s">
        <v>12</v>
      </c>
      <c r="C819" t="s">
        <v>56</v>
      </c>
      <c r="D819" s="2">
        <v>250</v>
      </c>
      <c r="E819" s="2">
        <v>350</v>
      </c>
      <c r="F819">
        <v>0</v>
      </c>
      <c r="G819">
        <v>0</v>
      </c>
      <c r="H819">
        <f t="shared" si="36"/>
        <v>0</v>
      </c>
      <c r="I819" s="33">
        <v>44951</v>
      </c>
      <c r="J819" t="s">
        <v>35</v>
      </c>
      <c r="K819" s="2">
        <f t="shared" si="37"/>
        <v>0</v>
      </c>
      <c r="L819" s="2">
        <f t="shared" si="38"/>
        <v>0</v>
      </c>
    </row>
    <row r="820" spans="1:12" x14ac:dyDescent="0.25">
      <c r="A820" t="s">
        <v>13</v>
      </c>
      <c r="B820" t="s">
        <v>12</v>
      </c>
      <c r="C820" t="s">
        <v>57</v>
      </c>
      <c r="D820" s="2">
        <v>300</v>
      </c>
      <c r="E820" s="2">
        <v>450</v>
      </c>
      <c r="F820">
        <v>1</v>
      </c>
      <c r="G820">
        <v>0</v>
      </c>
      <c r="H820">
        <f t="shared" si="36"/>
        <v>1</v>
      </c>
      <c r="I820" s="33">
        <v>44951</v>
      </c>
      <c r="J820" t="s">
        <v>35</v>
      </c>
      <c r="K820" s="2">
        <f t="shared" si="37"/>
        <v>450</v>
      </c>
      <c r="L820" s="2">
        <f t="shared" si="38"/>
        <v>150</v>
      </c>
    </row>
    <row r="821" spans="1:12" x14ac:dyDescent="0.25">
      <c r="A821" t="s">
        <v>14</v>
      </c>
      <c r="B821" t="s">
        <v>16</v>
      </c>
      <c r="C821" t="s">
        <v>50</v>
      </c>
      <c r="D821" s="2">
        <v>320</v>
      </c>
      <c r="E821" s="2">
        <v>400</v>
      </c>
      <c r="F821">
        <v>0</v>
      </c>
      <c r="G821">
        <v>0</v>
      </c>
      <c r="H821">
        <f t="shared" si="36"/>
        <v>0</v>
      </c>
      <c r="I821" s="33">
        <v>44951</v>
      </c>
      <c r="J821" t="s">
        <v>35</v>
      </c>
      <c r="K821" s="2">
        <f t="shared" si="37"/>
        <v>0</v>
      </c>
      <c r="L821" s="2">
        <f t="shared" si="38"/>
        <v>0</v>
      </c>
    </row>
    <row r="822" spans="1:12" x14ac:dyDescent="0.25">
      <c r="A822" t="s">
        <v>15</v>
      </c>
      <c r="B822" t="s">
        <v>16</v>
      </c>
      <c r="C822" t="s">
        <v>58</v>
      </c>
      <c r="D822" s="2">
        <v>100</v>
      </c>
      <c r="E822" s="2">
        <v>150</v>
      </c>
      <c r="F822">
        <v>3</v>
      </c>
      <c r="G822">
        <v>3</v>
      </c>
      <c r="H822">
        <f t="shared" si="36"/>
        <v>0</v>
      </c>
      <c r="I822" s="33">
        <v>44951</v>
      </c>
      <c r="J822" t="s">
        <v>35</v>
      </c>
      <c r="K822" s="2">
        <f t="shared" si="37"/>
        <v>0</v>
      </c>
      <c r="L822" s="2">
        <f t="shared" si="38"/>
        <v>0</v>
      </c>
    </row>
    <row r="823" spans="1:12" x14ac:dyDescent="0.25">
      <c r="A823" t="s">
        <v>2</v>
      </c>
      <c r="B823" t="s">
        <v>21</v>
      </c>
      <c r="C823" t="s">
        <v>51</v>
      </c>
      <c r="D823" s="2">
        <v>25</v>
      </c>
      <c r="E823" s="2">
        <v>40</v>
      </c>
      <c r="F823">
        <v>8</v>
      </c>
      <c r="G823">
        <v>4</v>
      </c>
      <c r="H823">
        <f t="shared" si="36"/>
        <v>4</v>
      </c>
      <c r="I823" s="33">
        <v>44951</v>
      </c>
      <c r="J823" t="s">
        <v>35</v>
      </c>
      <c r="K823" s="2">
        <f t="shared" si="37"/>
        <v>160</v>
      </c>
      <c r="L823" s="2">
        <f t="shared" si="38"/>
        <v>60</v>
      </c>
    </row>
    <row r="824" spans="1:12" x14ac:dyDescent="0.25">
      <c r="A824" t="s">
        <v>7</v>
      </c>
      <c r="B824" t="s">
        <v>21</v>
      </c>
      <c r="C824" t="s">
        <v>59</v>
      </c>
      <c r="D824" s="2">
        <v>30</v>
      </c>
      <c r="E824" s="2">
        <v>50</v>
      </c>
      <c r="F824">
        <v>6</v>
      </c>
      <c r="G824">
        <v>4</v>
      </c>
      <c r="H824">
        <f t="shared" si="36"/>
        <v>2</v>
      </c>
      <c r="I824" s="33">
        <v>44951</v>
      </c>
      <c r="J824" t="s">
        <v>35</v>
      </c>
      <c r="K824" s="2">
        <f t="shared" si="37"/>
        <v>100</v>
      </c>
      <c r="L824" s="2">
        <f t="shared" si="38"/>
        <v>40</v>
      </c>
    </row>
    <row r="825" spans="1:12" x14ac:dyDescent="0.25">
      <c r="A825" t="s">
        <v>9</v>
      </c>
      <c r="B825" t="s">
        <v>21</v>
      </c>
      <c r="C825" t="s">
        <v>60</v>
      </c>
      <c r="D825" s="2">
        <v>25</v>
      </c>
      <c r="E825" s="2">
        <v>40</v>
      </c>
      <c r="F825">
        <v>5</v>
      </c>
      <c r="G825">
        <v>5</v>
      </c>
      <c r="H825">
        <f t="shared" si="36"/>
        <v>0</v>
      </c>
      <c r="I825" s="33">
        <v>44951</v>
      </c>
      <c r="J825" t="s">
        <v>35</v>
      </c>
      <c r="K825" s="2">
        <f t="shared" si="37"/>
        <v>0</v>
      </c>
      <c r="L825" s="2">
        <f t="shared" si="38"/>
        <v>0</v>
      </c>
    </row>
    <row r="826" spans="1:12" x14ac:dyDescent="0.25">
      <c r="A826" t="s">
        <v>23</v>
      </c>
      <c r="B826" t="s">
        <v>21</v>
      </c>
      <c r="C826" t="s">
        <v>61</v>
      </c>
      <c r="D826" s="2">
        <v>25</v>
      </c>
      <c r="E826" s="2">
        <v>40</v>
      </c>
      <c r="F826">
        <v>11</v>
      </c>
      <c r="G826">
        <v>11</v>
      </c>
      <c r="H826">
        <f t="shared" si="36"/>
        <v>0</v>
      </c>
      <c r="I826" s="33">
        <v>44951</v>
      </c>
      <c r="J826" t="s">
        <v>35</v>
      </c>
      <c r="K826" s="2">
        <f t="shared" si="37"/>
        <v>0</v>
      </c>
      <c r="L826" s="2">
        <f t="shared" si="38"/>
        <v>0</v>
      </c>
    </row>
    <row r="827" spans="1:12" x14ac:dyDescent="0.25">
      <c r="A827" t="s">
        <v>13</v>
      </c>
      <c r="B827" t="s">
        <v>21</v>
      </c>
      <c r="C827" t="s">
        <v>62</v>
      </c>
      <c r="D827" s="2">
        <v>30</v>
      </c>
      <c r="E827" s="2">
        <v>55</v>
      </c>
      <c r="F827">
        <v>0</v>
      </c>
      <c r="G827">
        <v>0</v>
      </c>
      <c r="H827">
        <f t="shared" si="36"/>
        <v>0</v>
      </c>
      <c r="I827" s="33">
        <v>44951</v>
      </c>
      <c r="J827" t="s">
        <v>35</v>
      </c>
      <c r="K827" s="2">
        <f t="shared" si="37"/>
        <v>0</v>
      </c>
      <c r="L827" s="2">
        <f t="shared" si="38"/>
        <v>0</v>
      </c>
    </row>
    <row r="828" spans="1:12" x14ac:dyDescent="0.25">
      <c r="A828" t="s">
        <v>17</v>
      </c>
      <c r="B828" t="s">
        <v>21</v>
      </c>
      <c r="C828" t="s">
        <v>63</v>
      </c>
      <c r="D828" s="2">
        <v>40</v>
      </c>
      <c r="E828" s="2">
        <v>65</v>
      </c>
      <c r="F828">
        <v>10</v>
      </c>
      <c r="G828">
        <v>10</v>
      </c>
      <c r="H828">
        <f t="shared" si="36"/>
        <v>0</v>
      </c>
      <c r="I828" s="33">
        <v>44951</v>
      </c>
      <c r="J828" t="s">
        <v>35</v>
      </c>
      <c r="K828" s="2">
        <f t="shared" si="37"/>
        <v>0</v>
      </c>
      <c r="L828" s="2">
        <f t="shared" si="38"/>
        <v>0</v>
      </c>
    </row>
    <row r="829" spans="1:12" x14ac:dyDescent="0.25">
      <c r="A829" t="s">
        <v>34</v>
      </c>
      <c r="B829" t="s">
        <v>21</v>
      </c>
      <c r="C829" t="s">
        <v>64</v>
      </c>
      <c r="D829" s="2">
        <v>50</v>
      </c>
      <c r="E829" s="2">
        <v>70</v>
      </c>
      <c r="F829">
        <v>0</v>
      </c>
      <c r="G829">
        <v>0</v>
      </c>
      <c r="H829">
        <f t="shared" si="36"/>
        <v>0</v>
      </c>
      <c r="I829" s="33">
        <v>44951</v>
      </c>
      <c r="J829" t="s">
        <v>35</v>
      </c>
      <c r="K829" s="2">
        <f t="shared" si="37"/>
        <v>0</v>
      </c>
      <c r="L829" s="2">
        <f t="shared" si="38"/>
        <v>0</v>
      </c>
    </row>
    <row r="830" spans="1:12" x14ac:dyDescent="0.25">
      <c r="A830" t="s">
        <v>18</v>
      </c>
      <c r="B830" t="s">
        <v>21</v>
      </c>
      <c r="C830" t="s">
        <v>65</v>
      </c>
      <c r="D830" s="2">
        <v>20</v>
      </c>
      <c r="E830" s="2">
        <v>30</v>
      </c>
      <c r="F830">
        <v>8</v>
      </c>
      <c r="G830">
        <v>6</v>
      </c>
      <c r="H830">
        <f t="shared" si="36"/>
        <v>2</v>
      </c>
      <c r="I830" s="33">
        <v>44951</v>
      </c>
      <c r="J830" t="s">
        <v>35</v>
      </c>
      <c r="K830" s="2">
        <f t="shared" si="37"/>
        <v>60</v>
      </c>
      <c r="L830" s="2">
        <f t="shared" si="38"/>
        <v>20</v>
      </c>
    </row>
    <row r="831" spans="1:12" x14ac:dyDescent="0.25">
      <c r="A831" t="s">
        <v>19</v>
      </c>
      <c r="B831" t="s">
        <v>21</v>
      </c>
      <c r="C831" t="s">
        <v>66</v>
      </c>
      <c r="D831" s="2">
        <v>10</v>
      </c>
      <c r="E831" s="2">
        <v>20</v>
      </c>
      <c r="F831">
        <v>4</v>
      </c>
      <c r="G831">
        <v>3</v>
      </c>
      <c r="H831">
        <f t="shared" si="36"/>
        <v>1</v>
      </c>
      <c r="I831" s="33">
        <v>44951</v>
      </c>
      <c r="J831" t="s">
        <v>35</v>
      </c>
      <c r="K831" s="2">
        <f t="shared" si="37"/>
        <v>20</v>
      </c>
      <c r="L831" s="2">
        <f t="shared" si="38"/>
        <v>10</v>
      </c>
    </row>
    <row r="832" spans="1:12" x14ac:dyDescent="0.25">
      <c r="A832" t="s">
        <v>20</v>
      </c>
      <c r="B832" t="s">
        <v>21</v>
      </c>
      <c r="C832" t="s">
        <v>67</v>
      </c>
      <c r="D832" s="2">
        <v>60</v>
      </c>
      <c r="E832" s="2">
        <v>100</v>
      </c>
      <c r="F832">
        <v>1</v>
      </c>
      <c r="G832">
        <v>1</v>
      </c>
      <c r="H832">
        <f t="shared" si="36"/>
        <v>0</v>
      </c>
      <c r="I832" s="33">
        <v>44951</v>
      </c>
      <c r="J832" t="s">
        <v>35</v>
      </c>
      <c r="K832" s="2">
        <f t="shared" si="37"/>
        <v>0</v>
      </c>
      <c r="L832" s="2">
        <f t="shared" si="38"/>
        <v>0</v>
      </c>
    </row>
    <row r="833" spans="1:12" x14ac:dyDescent="0.25">
      <c r="A833" t="s">
        <v>22</v>
      </c>
      <c r="B833" t="s">
        <v>24</v>
      </c>
      <c r="C833" t="s">
        <v>68</v>
      </c>
      <c r="D833" s="2">
        <v>50</v>
      </c>
      <c r="E833" s="2">
        <v>70</v>
      </c>
      <c r="F833">
        <v>4</v>
      </c>
      <c r="G833">
        <v>2</v>
      </c>
      <c r="H833">
        <f t="shared" si="36"/>
        <v>2</v>
      </c>
      <c r="I833" s="33">
        <v>44951</v>
      </c>
      <c r="J833" t="s">
        <v>35</v>
      </c>
      <c r="K833" s="2">
        <f t="shared" si="37"/>
        <v>140</v>
      </c>
      <c r="L833" s="2">
        <f t="shared" si="38"/>
        <v>40</v>
      </c>
    </row>
    <row r="834" spans="1:12" x14ac:dyDescent="0.25">
      <c r="A834" t="s">
        <v>25</v>
      </c>
      <c r="B834" t="s">
        <v>24</v>
      </c>
      <c r="C834" t="s">
        <v>69</v>
      </c>
      <c r="D834" s="2">
        <v>45</v>
      </c>
      <c r="E834" s="2">
        <v>65</v>
      </c>
      <c r="F834">
        <v>0</v>
      </c>
      <c r="G834">
        <v>0</v>
      </c>
      <c r="H834">
        <f t="shared" ref="H834:H841" si="39">F834-G834</f>
        <v>0</v>
      </c>
      <c r="I834" s="33">
        <v>44951</v>
      </c>
      <c r="J834" t="s">
        <v>35</v>
      </c>
      <c r="K834" s="2">
        <f t="shared" ref="K834:K841" si="40">E834*H834</f>
        <v>0</v>
      </c>
      <c r="L834" s="2">
        <f t="shared" ref="L834:L841" si="41">(E834-D834)*H834</f>
        <v>0</v>
      </c>
    </row>
    <row r="835" spans="1:12" x14ac:dyDescent="0.25">
      <c r="A835" t="s">
        <v>26</v>
      </c>
      <c r="B835" t="s">
        <v>24</v>
      </c>
      <c r="C835" t="s">
        <v>70</v>
      </c>
      <c r="D835" s="2">
        <v>50</v>
      </c>
      <c r="E835" s="2">
        <v>70</v>
      </c>
      <c r="F835">
        <v>0</v>
      </c>
      <c r="G835">
        <v>0</v>
      </c>
      <c r="H835">
        <f t="shared" si="39"/>
        <v>0</v>
      </c>
      <c r="I835" s="33">
        <v>44951</v>
      </c>
      <c r="J835" t="s">
        <v>35</v>
      </c>
      <c r="K835" s="2">
        <f t="shared" si="40"/>
        <v>0</v>
      </c>
      <c r="L835" s="2">
        <f t="shared" si="41"/>
        <v>0</v>
      </c>
    </row>
    <row r="836" spans="1:12" x14ac:dyDescent="0.25">
      <c r="A836" t="s">
        <v>27</v>
      </c>
      <c r="B836" t="s">
        <v>24</v>
      </c>
      <c r="C836" t="s">
        <v>71</v>
      </c>
      <c r="D836" s="2">
        <v>10</v>
      </c>
      <c r="E836" s="2">
        <v>15</v>
      </c>
      <c r="F836">
        <v>10</v>
      </c>
      <c r="G836">
        <v>1</v>
      </c>
      <c r="H836">
        <f t="shared" si="39"/>
        <v>9</v>
      </c>
      <c r="I836" s="33">
        <v>44951</v>
      </c>
      <c r="J836" t="s">
        <v>35</v>
      </c>
      <c r="K836" s="2">
        <f t="shared" si="40"/>
        <v>135</v>
      </c>
      <c r="L836" s="2">
        <f t="shared" si="41"/>
        <v>45</v>
      </c>
    </row>
    <row r="837" spans="1:12" x14ac:dyDescent="0.25">
      <c r="A837" t="s">
        <v>28</v>
      </c>
      <c r="B837" t="s">
        <v>24</v>
      </c>
      <c r="C837" t="s">
        <v>72</v>
      </c>
      <c r="D837" s="2">
        <v>20</v>
      </c>
      <c r="E837" s="2">
        <v>25</v>
      </c>
      <c r="F837">
        <v>7</v>
      </c>
      <c r="G837">
        <v>0</v>
      </c>
      <c r="H837">
        <f t="shared" si="39"/>
        <v>7</v>
      </c>
      <c r="I837" s="33">
        <v>44951</v>
      </c>
      <c r="J837" t="s">
        <v>35</v>
      </c>
      <c r="K837" s="2">
        <f t="shared" si="40"/>
        <v>175</v>
      </c>
      <c r="L837" s="2">
        <f t="shared" si="41"/>
        <v>35</v>
      </c>
    </row>
    <row r="838" spans="1:12" x14ac:dyDescent="0.25">
      <c r="A838" t="s">
        <v>29</v>
      </c>
      <c r="B838" t="s">
        <v>30</v>
      </c>
      <c r="C838" t="s">
        <v>73</v>
      </c>
      <c r="D838" s="2">
        <v>25</v>
      </c>
      <c r="E838" s="2">
        <v>30</v>
      </c>
      <c r="F838">
        <v>16</v>
      </c>
      <c r="G838">
        <v>10</v>
      </c>
      <c r="H838">
        <f t="shared" si="39"/>
        <v>6</v>
      </c>
      <c r="I838" s="33">
        <v>44951</v>
      </c>
      <c r="J838" t="s">
        <v>35</v>
      </c>
      <c r="K838" s="2">
        <f t="shared" si="40"/>
        <v>180</v>
      </c>
      <c r="L838" s="2">
        <f t="shared" si="41"/>
        <v>30</v>
      </c>
    </row>
    <row r="839" spans="1:12" x14ac:dyDescent="0.25">
      <c r="A839" t="s">
        <v>31</v>
      </c>
      <c r="B839" t="s">
        <v>30</v>
      </c>
      <c r="C839" t="s">
        <v>74</v>
      </c>
      <c r="D839" s="2">
        <v>25</v>
      </c>
      <c r="E839" s="2">
        <v>30</v>
      </c>
      <c r="F839">
        <v>6</v>
      </c>
      <c r="G839">
        <v>4</v>
      </c>
      <c r="H839">
        <f t="shared" si="39"/>
        <v>2</v>
      </c>
      <c r="I839" s="33">
        <v>44951</v>
      </c>
      <c r="J839" t="s">
        <v>35</v>
      </c>
      <c r="K839" s="2">
        <f t="shared" si="40"/>
        <v>60</v>
      </c>
      <c r="L839" s="2">
        <f t="shared" si="41"/>
        <v>10</v>
      </c>
    </row>
    <row r="840" spans="1:12" x14ac:dyDescent="0.25">
      <c r="A840" t="s">
        <v>32</v>
      </c>
      <c r="B840" t="s">
        <v>30</v>
      </c>
      <c r="C840" t="s">
        <v>75</v>
      </c>
      <c r="D840" s="2">
        <v>25</v>
      </c>
      <c r="E840" s="2">
        <v>30</v>
      </c>
      <c r="F840">
        <v>6</v>
      </c>
      <c r="G840">
        <v>0</v>
      </c>
      <c r="H840">
        <f t="shared" si="39"/>
        <v>6</v>
      </c>
      <c r="I840" s="33">
        <v>44951</v>
      </c>
      <c r="J840" t="s">
        <v>35</v>
      </c>
      <c r="K840" s="2">
        <f t="shared" si="40"/>
        <v>180</v>
      </c>
      <c r="L840" s="2">
        <f t="shared" si="41"/>
        <v>30</v>
      </c>
    </row>
    <row r="841" spans="1:12" x14ac:dyDescent="0.25">
      <c r="A841" t="s">
        <v>33</v>
      </c>
      <c r="B841" t="s">
        <v>30</v>
      </c>
      <c r="C841" t="s">
        <v>76</v>
      </c>
      <c r="D841" s="2">
        <v>30</v>
      </c>
      <c r="E841" s="2">
        <v>35</v>
      </c>
      <c r="F841">
        <v>13</v>
      </c>
      <c r="G841">
        <v>6</v>
      </c>
      <c r="H841">
        <f t="shared" si="39"/>
        <v>7</v>
      </c>
      <c r="I841" s="33">
        <v>44951</v>
      </c>
      <c r="J841" t="s">
        <v>35</v>
      </c>
      <c r="K841" s="2">
        <f t="shared" si="40"/>
        <v>245</v>
      </c>
      <c r="L841" s="2">
        <f t="shared" si="41"/>
        <v>35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86DE-9D82-4990-AC1C-19F3E5E4C36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AE0F9-ED52-4D87-8C19-8B1736B77FCD}">
  <dimension ref="A3:I33"/>
  <sheetViews>
    <sheetView workbookViewId="0">
      <selection sqref="A1:F33"/>
    </sheetView>
  </sheetViews>
  <sheetFormatPr defaultRowHeight="15" x14ac:dyDescent="0.25"/>
  <cols>
    <col min="1" max="1" width="13.140625" bestFit="1" customWidth="1"/>
    <col min="2" max="2" width="12.5703125" bestFit="1" customWidth="1"/>
    <col min="8" max="8" width="21.42578125" customWidth="1"/>
  </cols>
  <sheetData>
    <row r="3" spans="1:9" x14ac:dyDescent="0.25">
      <c r="A3" s="7" t="s">
        <v>87</v>
      </c>
      <c r="B3" t="s">
        <v>79</v>
      </c>
    </row>
    <row r="4" spans="1:9" x14ac:dyDescent="0.25">
      <c r="A4" s="31">
        <v>44920</v>
      </c>
      <c r="B4">
        <v>16390</v>
      </c>
    </row>
    <row r="5" spans="1:9" x14ac:dyDescent="0.25">
      <c r="A5" s="31">
        <v>44921</v>
      </c>
      <c r="B5">
        <v>7815</v>
      </c>
      <c r="D5" t="s">
        <v>99</v>
      </c>
      <c r="E5">
        <f>SUM(B4:B11)</f>
        <v>76505</v>
      </c>
    </row>
    <row r="6" spans="1:9" x14ac:dyDescent="0.25">
      <c r="A6" s="31">
        <v>44922</v>
      </c>
      <c r="B6">
        <v>1750</v>
      </c>
      <c r="D6" t="s">
        <v>100</v>
      </c>
      <c r="E6">
        <f>SUM(B12:B18)</f>
        <v>31975</v>
      </c>
      <c r="H6" s="10" t="s">
        <v>103</v>
      </c>
      <c r="I6">
        <f>AVERAGE(E5:E8)</f>
        <v>38471.25</v>
      </c>
    </row>
    <row r="7" spans="1:9" x14ac:dyDescent="0.25">
      <c r="A7" s="31">
        <v>44923</v>
      </c>
      <c r="B7">
        <v>4945</v>
      </c>
      <c r="D7" t="s">
        <v>101</v>
      </c>
      <c r="E7">
        <f>SUM(B19:B25)</f>
        <v>26295</v>
      </c>
    </row>
    <row r="8" spans="1:9" x14ac:dyDescent="0.25">
      <c r="A8" s="31">
        <v>44924</v>
      </c>
      <c r="B8">
        <v>3020</v>
      </c>
      <c r="D8" t="s">
        <v>102</v>
      </c>
      <c r="E8">
        <f>SUM(B26:B31)</f>
        <v>19110</v>
      </c>
    </row>
    <row r="9" spans="1:9" x14ac:dyDescent="0.25">
      <c r="A9" s="31">
        <v>44925</v>
      </c>
      <c r="B9">
        <v>11945</v>
      </c>
    </row>
    <row r="10" spans="1:9" x14ac:dyDescent="0.25">
      <c r="A10" s="31">
        <v>44926</v>
      </c>
      <c r="B10">
        <v>23235</v>
      </c>
    </row>
    <row r="11" spans="1:9" x14ac:dyDescent="0.25">
      <c r="A11" s="31">
        <v>44927</v>
      </c>
      <c r="B11" s="35">
        <v>7405</v>
      </c>
    </row>
    <row r="12" spans="1:9" x14ac:dyDescent="0.25">
      <c r="A12" s="31">
        <v>44928</v>
      </c>
      <c r="B12">
        <v>3610</v>
      </c>
    </row>
    <row r="13" spans="1:9" x14ac:dyDescent="0.25">
      <c r="A13" s="31">
        <v>44930</v>
      </c>
      <c r="B13">
        <v>3355</v>
      </c>
    </row>
    <row r="14" spans="1:9" x14ac:dyDescent="0.25">
      <c r="A14" s="31">
        <v>44931</v>
      </c>
      <c r="B14">
        <v>5675</v>
      </c>
    </row>
    <row r="15" spans="1:9" x14ac:dyDescent="0.25">
      <c r="A15" s="31">
        <v>44932</v>
      </c>
      <c r="B15">
        <v>5090</v>
      </c>
    </row>
    <row r="16" spans="1:9" x14ac:dyDescent="0.25">
      <c r="A16" s="31">
        <v>44933</v>
      </c>
      <c r="B16">
        <v>5710</v>
      </c>
    </row>
    <row r="17" spans="1:2" x14ac:dyDescent="0.25">
      <c r="A17" s="31">
        <v>44934</v>
      </c>
      <c r="B17">
        <v>3915</v>
      </c>
    </row>
    <row r="18" spans="1:2" x14ac:dyDescent="0.25">
      <c r="A18" s="31">
        <v>44935</v>
      </c>
      <c r="B18" s="35">
        <v>4620</v>
      </c>
    </row>
    <row r="19" spans="1:2" x14ac:dyDescent="0.25">
      <c r="A19" s="31">
        <v>44937</v>
      </c>
      <c r="B19">
        <v>4725</v>
      </c>
    </row>
    <row r="20" spans="1:2" x14ac:dyDescent="0.25">
      <c r="A20" s="31">
        <v>44938</v>
      </c>
      <c r="B20">
        <v>2420</v>
      </c>
    </row>
    <row r="21" spans="1:2" x14ac:dyDescent="0.25">
      <c r="A21" s="31">
        <v>44939</v>
      </c>
      <c r="B21">
        <v>3480</v>
      </c>
    </row>
    <row r="22" spans="1:2" x14ac:dyDescent="0.25">
      <c r="A22" s="31">
        <v>44940</v>
      </c>
      <c r="B22">
        <v>7590</v>
      </c>
    </row>
    <row r="23" spans="1:2" x14ac:dyDescent="0.25">
      <c r="A23" s="31">
        <v>44941</v>
      </c>
      <c r="B23">
        <v>1360</v>
      </c>
    </row>
    <row r="24" spans="1:2" x14ac:dyDescent="0.25">
      <c r="A24" s="31">
        <v>44942</v>
      </c>
      <c r="B24">
        <v>3655</v>
      </c>
    </row>
    <row r="25" spans="1:2" x14ac:dyDescent="0.25">
      <c r="A25" s="31">
        <v>44944</v>
      </c>
      <c r="B25" s="35">
        <v>3065</v>
      </c>
    </row>
    <row r="26" spans="1:2" x14ac:dyDescent="0.25">
      <c r="A26" s="31">
        <v>44945</v>
      </c>
      <c r="B26">
        <v>3485</v>
      </c>
    </row>
    <row r="27" spans="1:2" x14ac:dyDescent="0.25">
      <c r="A27" s="31">
        <v>44946</v>
      </c>
      <c r="B27">
        <v>2075</v>
      </c>
    </row>
    <row r="28" spans="1:2" x14ac:dyDescent="0.25">
      <c r="A28" s="31">
        <v>44947</v>
      </c>
      <c r="B28">
        <v>4610</v>
      </c>
    </row>
    <row r="29" spans="1:2" x14ac:dyDescent="0.25">
      <c r="A29" s="31">
        <v>44948</v>
      </c>
      <c r="B29">
        <v>2885</v>
      </c>
    </row>
    <row r="30" spans="1:2" x14ac:dyDescent="0.25">
      <c r="A30" s="31">
        <v>44949</v>
      </c>
      <c r="B30">
        <v>1850</v>
      </c>
    </row>
    <row r="31" spans="1:2" x14ac:dyDescent="0.25">
      <c r="A31" s="31">
        <v>44951</v>
      </c>
      <c r="B31" s="35">
        <v>4205</v>
      </c>
    </row>
    <row r="32" spans="1:2" x14ac:dyDescent="0.25">
      <c r="A32" s="8" t="s">
        <v>98</v>
      </c>
    </row>
    <row r="33" spans="1:2" x14ac:dyDescent="0.25">
      <c r="A33" s="8" t="s">
        <v>78</v>
      </c>
      <c r="B33">
        <v>153885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ABF6A-BDE5-47CD-96DA-C38CB3227E3D}">
  <dimension ref="A3:F42"/>
  <sheetViews>
    <sheetView topLeftCell="A2" workbookViewId="0">
      <selection activeCell="H12" sqref="H12"/>
    </sheetView>
  </sheetViews>
  <sheetFormatPr defaultRowHeight="15" x14ac:dyDescent="0.25"/>
  <cols>
    <col min="1" max="1" width="14.140625" bestFit="1" customWidth="1"/>
    <col min="2" max="2" width="12.5703125" bestFit="1" customWidth="1"/>
    <col min="5" max="5" width="19.5703125" customWidth="1"/>
  </cols>
  <sheetData>
    <row r="3" spans="1:6" x14ac:dyDescent="0.25">
      <c r="A3" s="7" t="s">
        <v>87</v>
      </c>
      <c r="B3" t="s">
        <v>79</v>
      </c>
    </row>
    <row r="4" spans="1:6" x14ac:dyDescent="0.25">
      <c r="A4" s="8" t="s">
        <v>10</v>
      </c>
      <c r="B4">
        <v>21550</v>
      </c>
    </row>
    <row r="5" spans="1:6" x14ac:dyDescent="0.25">
      <c r="A5" s="36">
        <v>44921</v>
      </c>
      <c r="B5">
        <v>7815</v>
      </c>
      <c r="E5" t="s">
        <v>104</v>
      </c>
      <c r="F5">
        <f>AVERAGE(B5:B9)</f>
        <v>4310</v>
      </c>
    </row>
    <row r="6" spans="1:6" x14ac:dyDescent="0.25">
      <c r="A6" s="36">
        <v>44928</v>
      </c>
      <c r="B6">
        <v>3610</v>
      </c>
      <c r="E6" t="s">
        <v>105</v>
      </c>
      <c r="F6">
        <v>1750</v>
      </c>
    </row>
    <row r="7" spans="1:6" x14ac:dyDescent="0.25">
      <c r="A7" s="36">
        <v>44935</v>
      </c>
      <c r="B7">
        <v>4620</v>
      </c>
      <c r="E7" t="s">
        <v>106</v>
      </c>
      <c r="F7">
        <v>4059</v>
      </c>
    </row>
    <row r="8" spans="1:6" x14ac:dyDescent="0.25">
      <c r="A8" s="36">
        <v>44942</v>
      </c>
      <c r="B8">
        <v>3655</v>
      </c>
      <c r="E8" t="s">
        <v>107</v>
      </c>
      <c r="F8">
        <f>AVERAGE(B18:B21)</f>
        <v>3650</v>
      </c>
    </row>
    <row r="9" spans="1:6" x14ac:dyDescent="0.25">
      <c r="A9" s="36">
        <v>44949</v>
      </c>
      <c r="B9">
        <v>1850</v>
      </c>
      <c r="E9" t="s">
        <v>108</v>
      </c>
      <c r="F9">
        <f>AVERAGE(B23:B26)</f>
        <v>5647.5</v>
      </c>
    </row>
    <row r="10" spans="1:6" x14ac:dyDescent="0.25">
      <c r="A10" s="8" t="s">
        <v>11</v>
      </c>
      <c r="B10">
        <v>1750</v>
      </c>
      <c r="E10" t="s">
        <v>109</v>
      </c>
      <c r="F10">
        <f>AVERAGE(B28:B31)</f>
        <v>10286.25</v>
      </c>
    </row>
    <row r="11" spans="1:6" x14ac:dyDescent="0.25">
      <c r="A11" s="36">
        <v>44922</v>
      </c>
      <c r="B11">
        <v>1750</v>
      </c>
      <c r="E11" t="s">
        <v>110</v>
      </c>
      <c r="F11">
        <f>AVERAGE(B33:B37)</f>
        <v>6391</v>
      </c>
    </row>
    <row r="12" spans="1:6" x14ac:dyDescent="0.25">
      <c r="A12" s="8" t="s">
        <v>35</v>
      </c>
      <c r="B12">
        <v>15570</v>
      </c>
    </row>
    <row r="13" spans="1:6" x14ac:dyDescent="0.25">
      <c r="A13" s="36">
        <v>44923</v>
      </c>
      <c r="B13">
        <v>4945</v>
      </c>
    </row>
    <row r="14" spans="1:6" x14ac:dyDescent="0.25">
      <c r="A14" s="36">
        <v>44930</v>
      </c>
      <c r="B14">
        <v>3355</v>
      </c>
    </row>
    <row r="15" spans="1:6" x14ac:dyDescent="0.25">
      <c r="A15" s="36">
        <v>44944</v>
      </c>
      <c r="B15">
        <v>3065</v>
      </c>
    </row>
    <row r="16" spans="1:6" x14ac:dyDescent="0.25">
      <c r="A16" s="36">
        <v>44951</v>
      </c>
      <c r="B16">
        <v>4205</v>
      </c>
    </row>
    <row r="17" spans="1:2" x14ac:dyDescent="0.25">
      <c r="A17" s="8" t="s">
        <v>36</v>
      </c>
      <c r="B17">
        <v>14600</v>
      </c>
    </row>
    <row r="18" spans="1:2" x14ac:dyDescent="0.25">
      <c r="A18" s="36">
        <v>44924</v>
      </c>
      <c r="B18">
        <v>3020</v>
      </c>
    </row>
    <row r="19" spans="1:2" x14ac:dyDescent="0.25">
      <c r="A19" s="36">
        <v>44931</v>
      </c>
      <c r="B19">
        <v>5675</v>
      </c>
    </row>
    <row r="20" spans="1:2" x14ac:dyDescent="0.25">
      <c r="A20" s="36">
        <v>44938</v>
      </c>
      <c r="B20">
        <v>2420</v>
      </c>
    </row>
    <row r="21" spans="1:2" x14ac:dyDescent="0.25">
      <c r="A21" s="36">
        <v>44945</v>
      </c>
      <c r="B21">
        <v>3485</v>
      </c>
    </row>
    <row r="22" spans="1:2" x14ac:dyDescent="0.25">
      <c r="A22" s="8" t="s">
        <v>37</v>
      </c>
      <c r="B22">
        <v>22590</v>
      </c>
    </row>
    <row r="23" spans="1:2" x14ac:dyDescent="0.25">
      <c r="A23" s="36">
        <v>44925</v>
      </c>
      <c r="B23">
        <v>11945</v>
      </c>
    </row>
    <row r="24" spans="1:2" x14ac:dyDescent="0.25">
      <c r="A24" s="36">
        <v>44932</v>
      </c>
      <c r="B24">
        <v>5090</v>
      </c>
    </row>
    <row r="25" spans="1:2" x14ac:dyDescent="0.25">
      <c r="A25" s="36">
        <v>44939</v>
      </c>
      <c r="B25">
        <v>3480</v>
      </c>
    </row>
    <row r="26" spans="1:2" x14ac:dyDescent="0.25">
      <c r="A26" s="36">
        <v>44946</v>
      </c>
      <c r="B26">
        <v>2075</v>
      </c>
    </row>
    <row r="27" spans="1:2" x14ac:dyDescent="0.25">
      <c r="A27" s="8" t="s">
        <v>38</v>
      </c>
      <c r="B27">
        <v>41145</v>
      </c>
    </row>
    <row r="28" spans="1:2" x14ac:dyDescent="0.25">
      <c r="A28" s="36">
        <v>44926</v>
      </c>
      <c r="B28">
        <v>23235</v>
      </c>
    </row>
    <row r="29" spans="1:2" x14ac:dyDescent="0.25">
      <c r="A29" s="36">
        <v>44933</v>
      </c>
      <c r="B29">
        <v>5710</v>
      </c>
    </row>
    <row r="30" spans="1:2" x14ac:dyDescent="0.25">
      <c r="A30" s="36">
        <v>44940</v>
      </c>
      <c r="B30">
        <v>7590</v>
      </c>
    </row>
    <row r="31" spans="1:2" x14ac:dyDescent="0.25">
      <c r="A31" s="36">
        <v>44947</v>
      </c>
      <c r="B31">
        <v>4610</v>
      </c>
    </row>
    <row r="32" spans="1:2" x14ac:dyDescent="0.25">
      <c r="A32" s="8" t="s">
        <v>6</v>
      </c>
      <c r="B32">
        <v>31955</v>
      </c>
    </row>
    <row r="33" spans="1:2" x14ac:dyDescent="0.25">
      <c r="A33" s="36">
        <v>44920</v>
      </c>
      <c r="B33">
        <v>16390</v>
      </c>
    </row>
    <row r="34" spans="1:2" x14ac:dyDescent="0.25">
      <c r="A34" s="36">
        <v>44927</v>
      </c>
      <c r="B34">
        <v>7405</v>
      </c>
    </row>
    <row r="35" spans="1:2" x14ac:dyDescent="0.25">
      <c r="A35" s="36">
        <v>44934</v>
      </c>
      <c r="B35">
        <v>3915</v>
      </c>
    </row>
    <row r="36" spans="1:2" x14ac:dyDescent="0.25">
      <c r="A36" s="36">
        <v>44941</v>
      </c>
      <c r="B36">
        <v>1360</v>
      </c>
    </row>
    <row r="37" spans="1:2" x14ac:dyDescent="0.25">
      <c r="A37" s="36">
        <v>44948</v>
      </c>
      <c r="B37">
        <v>2885</v>
      </c>
    </row>
    <row r="38" spans="1:2" x14ac:dyDescent="0.25">
      <c r="A38" s="8" t="s">
        <v>42</v>
      </c>
      <c r="B38">
        <v>4725</v>
      </c>
    </row>
    <row r="39" spans="1:2" x14ac:dyDescent="0.25">
      <c r="A39" s="36">
        <v>44937</v>
      </c>
      <c r="B39">
        <v>4725</v>
      </c>
    </row>
    <row r="40" spans="1:2" x14ac:dyDescent="0.25">
      <c r="A40" s="8" t="s">
        <v>98</v>
      </c>
    </row>
    <row r="41" spans="1:2" x14ac:dyDescent="0.25">
      <c r="A41" s="34" t="s">
        <v>98</v>
      </c>
    </row>
    <row r="42" spans="1:2" x14ac:dyDescent="0.25">
      <c r="A42" s="8" t="s">
        <v>78</v>
      </c>
      <c r="B42">
        <v>153885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712B-7C18-4D90-9C0F-F10597B78565}">
  <dimension ref="A3:B10"/>
  <sheetViews>
    <sheetView workbookViewId="0">
      <selection activeCell="F9" sqref="F9"/>
    </sheetView>
  </sheetViews>
  <sheetFormatPr defaultRowHeight="15" x14ac:dyDescent="0.25"/>
  <cols>
    <col min="1" max="1" width="13.140625" bestFit="1" customWidth="1"/>
    <col min="2" max="2" width="16.140625" bestFit="1" customWidth="1"/>
  </cols>
  <sheetData>
    <row r="3" spans="1:2" x14ac:dyDescent="0.25">
      <c r="A3" s="7" t="s">
        <v>87</v>
      </c>
      <c r="B3" t="s">
        <v>111</v>
      </c>
    </row>
    <row r="4" spans="1:2" x14ac:dyDescent="0.25">
      <c r="A4" s="8" t="s">
        <v>30</v>
      </c>
      <c r="B4" s="2">
        <v>98.571428571428569</v>
      </c>
    </row>
    <row r="5" spans="1:2" x14ac:dyDescent="0.25">
      <c r="A5" s="8" t="s">
        <v>16</v>
      </c>
      <c r="B5" s="2">
        <v>114.28571428571429</v>
      </c>
    </row>
    <row r="6" spans="1:2" x14ac:dyDescent="0.25">
      <c r="A6" s="8" t="s">
        <v>3</v>
      </c>
      <c r="B6" s="2">
        <v>334.375</v>
      </c>
    </row>
    <row r="7" spans="1:2" x14ac:dyDescent="0.25">
      <c r="A7" s="8" t="s">
        <v>21</v>
      </c>
      <c r="B7" s="2">
        <v>139.08928571428572</v>
      </c>
    </row>
    <row r="8" spans="1:2" x14ac:dyDescent="0.25">
      <c r="A8" s="8" t="s">
        <v>12</v>
      </c>
      <c r="B8" s="2">
        <v>374.64285714285717</v>
      </c>
    </row>
    <row r="9" spans="1:2" x14ac:dyDescent="0.25">
      <c r="A9" s="8" t="s">
        <v>24</v>
      </c>
      <c r="B9" s="2">
        <v>54.285714285714285</v>
      </c>
    </row>
    <row r="10" spans="1:2" x14ac:dyDescent="0.25">
      <c r="A10" s="8" t="s">
        <v>78</v>
      </c>
      <c r="B10" s="2">
        <v>183.19642857142858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4FF2-D6C3-4E78-BEA9-D5879790947B}">
  <dimension ref="A3:K14"/>
  <sheetViews>
    <sheetView tabSelected="1" workbookViewId="0">
      <selection activeCell="A5" sqref="A5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27.7109375" bestFit="1" customWidth="1"/>
    <col min="4" max="4" width="12.5703125" bestFit="1" customWidth="1"/>
    <col min="10" max="11" width="10.7109375" bestFit="1" customWidth="1"/>
  </cols>
  <sheetData>
    <row r="3" spans="1:11" x14ac:dyDescent="0.25">
      <c r="A3" s="7" t="s">
        <v>87</v>
      </c>
      <c r="B3" t="s">
        <v>79</v>
      </c>
      <c r="C3" t="s">
        <v>81</v>
      </c>
      <c r="D3" t="s">
        <v>80</v>
      </c>
    </row>
    <row r="4" spans="1:11" x14ac:dyDescent="0.25">
      <c r="A4" s="8" t="s">
        <v>30</v>
      </c>
      <c r="B4">
        <v>11040</v>
      </c>
      <c r="C4">
        <v>350</v>
      </c>
      <c r="D4">
        <v>1750</v>
      </c>
    </row>
    <row r="5" spans="1:11" x14ac:dyDescent="0.25">
      <c r="A5" s="8" t="s">
        <v>16</v>
      </c>
      <c r="B5">
        <v>6400</v>
      </c>
      <c r="C5">
        <v>31</v>
      </c>
      <c r="D5">
        <v>1760</v>
      </c>
    </row>
    <row r="6" spans="1:11" x14ac:dyDescent="0.25">
      <c r="A6" s="8" t="s">
        <v>3</v>
      </c>
      <c r="B6">
        <v>37450</v>
      </c>
      <c r="C6">
        <v>161</v>
      </c>
      <c r="D6">
        <v>16100</v>
      </c>
      <c r="I6" t="s">
        <v>112</v>
      </c>
      <c r="J6" s="9" t="s">
        <v>79</v>
      </c>
      <c r="K6" s="9" t="s">
        <v>80</v>
      </c>
    </row>
    <row r="7" spans="1:11" x14ac:dyDescent="0.25">
      <c r="A7" s="8" t="s">
        <v>21</v>
      </c>
      <c r="B7">
        <v>38945</v>
      </c>
      <c r="C7">
        <v>836</v>
      </c>
      <c r="D7">
        <v>15145</v>
      </c>
      <c r="I7" t="s">
        <v>30</v>
      </c>
      <c r="J7" s="2">
        <v>11040</v>
      </c>
      <c r="K7" s="2">
        <v>1750</v>
      </c>
    </row>
    <row r="8" spans="1:11" x14ac:dyDescent="0.25">
      <c r="A8" s="8" t="s">
        <v>12</v>
      </c>
      <c r="B8">
        <v>52450</v>
      </c>
      <c r="C8">
        <v>141</v>
      </c>
      <c r="D8">
        <v>15300</v>
      </c>
      <c r="I8" t="s">
        <v>16</v>
      </c>
      <c r="J8" s="2">
        <v>6400</v>
      </c>
      <c r="K8" s="2">
        <v>1760</v>
      </c>
    </row>
    <row r="9" spans="1:11" x14ac:dyDescent="0.25">
      <c r="A9" s="8" t="s">
        <v>24</v>
      </c>
      <c r="B9">
        <v>7600</v>
      </c>
      <c r="C9">
        <v>287</v>
      </c>
      <c r="D9">
        <v>2050</v>
      </c>
      <c r="I9" t="s">
        <v>3</v>
      </c>
      <c r="J9" s="2">
        <v>37450</v>
      </c>
      <c r="K9" s="2">
        <v>16100</v>
      </c>
    </row>
    <row r="10" spans="1:11" x14ac:dyDescent="0.25">
      <c r="A10" s="8" t="s">
        <v>98</v>
      </c>
      <c r="I10" t="s">
        <v>21</v>
      </c>
      <c r="J10" s="2">
        <v>38945</v>
      </c>
      <c r="K10" s="2">
        <v>15145</v>
      </c>
    </row>
    <row r="11" spans="1:11" x14ac:dyDescent="0.25">
      <c r="A11" s="8" t="s">
        <v>78</v>
      </c>
      <c r="B11">
        <v>153885</v>
      </c>
      <c r="C11">
        <v>1806</v>
      </c>
      <c r="D11">
        <v>52105</v>
      </c>
      <c r="I11" t="s">
        <v>12</v>
      </c>
      <c r="J11" s="2">
        <v>52450</v>
      </c>
      <c r="K11" s="2">
        <v>15300</v>
      </c>
    </row>
    <row r="12" spans="1:11" x14ac:dyDescent="0.25">
      <c r="I12" t="s">
        <v>24</v>
      </c>
      <c r="J12" s="2">
        <v>7600</v>
      </c>
      <c r="K12" s="2">
        <v>2050</v>
      </c>
    </row>
    <row r="14" spans="1:11" x14ac:dyDescent="0.25">
      <c r="J14" s="37">
        <v>153885</v>
      </c>
      <c r="K14" s="37">
        <v>52105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4E61D-283F-463E-91FA-8D2D7316F047}">
  <dimension ref="A3:B10"/>
  <sheetViews>
    <sheetView workbookViewId="0">
      <selection activeCell="B10" sqref="A3:B10"/>
    </sheetView>
  </sheetViews>
  <sheetFormatPr defaultRowHeight="15" x14ac:dyDescent="0.25"/>
  <cols>
    <col min="1" max="1" width="13.140625" bestFit="1" customWidth="1"/>
    <col min="2" max="2" width="27.7109375" bestFit="1" customWidth="1"/>
  </cols>
  <sheetData>
    <row r="3" spans="1:2" x14ac:dyDescent="0.25">
      <c r="A3" s="7" t="s">
        <v>87</v>
      </c>
      <c r="B3" t="s">
        <v>81</v>
      </c>
    </row>
    <row r="4" spans="1:2" x14ac:dyDescent="0.25">
      <c r="A4" s="8" t="s">
        <v>30</v>
      </c>
      <c r="B4">
        <v>350</v>
      </c>
    </row>
    <row r="5" spans="1:2" x14ac:dyDescent="0.25">
      <c r="A5" s="8" t="s">
        <v>16</v>
      </c>
      <c r="B5">
        <v>31</v>
      </c>
    </row>
    <row r="6" spans="1:2" x14ac:dyDescent="0.25">
      <c r="A6" s="8" t="s">
        <v>3</v>
      </c>
      <c r="B6">
        <v>161</v>
      </c>
    </row>
    <row r="7" spans="1:2" x14ac:dyDescent="0.25">
      <c r="A7" s="8" t="s">
        <v>21</v>
      </c>
      <c r="B7">
        <v>836</v>
      </c>
    </row>
    <row r="8" spans="1:2" x14ac:dyDescent="0.25">
      <c r="A8" s="8" t="s">
        <v>12</v>
      </c>
      <c r="B8">
        <v>141</v>
      </c>
    </row>
    <row r="9" spans="1:2" x14ac:dyDescent="0.25">
      <c r="A9" s="8" t="s">
        <v>24</v>
      </c>
      <c r="B9">
        <v>287</v>
      </c>
    </row>
    <row r="10" spans="1:2" x14ac:dyDescent="0.25">
      <c r="A10" s="8" t="s">
        <v>78</v>
      </c>
      <c r="B10">
        <v>1806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7B0F-B9C2-4E64-96E1-143FDDB28942}">
  <dimension ref="A3:J34"/>
  <sheetViews>
    <sheetView topLeftCell="A10" workbookViewId="0">
      <selection activeCell="E25" sqref="E25"/>
    </sheetView>
  </sheetViews>
  <sheetFormatPr defaultRowHeight="15" x14ac:dyDescent="0.25"/>
  <cols>
    <col min="1" max="1" width="12.5703125" bestFit="1" customWidth="1"/>
    <col min="2" max="2" width="12.28515625" bestFit="1" customWidth="1"/>
    <col min="3" max="6" width="7" bestFit="1" customWidth="1"/>
    <col min="7" max="8" width="8.28515625" bestFit="1" customWidth="1"/>
    <col min="9" max="9" width="35.42578125" customWidth="1"/>
    <col min="10" max="10" width="11" bestFit="1" customWidth="1"/>
    <col min="11" max="89" width="8.28515625" bestFit="1" customWidth="1"/>
    <col min="90" max="90" width="11.140625" bestFit="1" customWidth="1"/>
  </cols>
  <sheetData>
    <row r="3" spans="1:10" x14ac:dyDescent="0.25">
      <c r="A3" s="12" t="s">
        <v>79</v>
      </c>
      <c r="B3" s="15"/>
    </row>
    <row r="4" spans="1:10" x14ac:dyDescent="0.25">
      <c r="A4" s="12" t="s">
        <v>4</v>
      </c>
      <c r="B4" s="15" t="s">
        <v>88</v>
      </c>
      <c r="I4">
        <f>VAR(B5:B32)</f>
        <v>22196322.321428571</v>
      </c>
    </row>
    <row r="5" spans="1:10" x14ac:dyDescent="0.25">
      <c r="A5" s="16">
        <v>44920</v>
      </c>
      <c r="B5" s="18">
        <v>16390</v>
      </c>
    </row>
    <row r="6" spans="1:10" x14ac:dyDescent="0.25">
      <c r="A6" s="17">
        <v>44921</v>
      </c>
      <c r="B6" s="19">
        <v>7815</v>
      </c>
    </row>
    <row r="7" spans="1:10" x14ac:dyDescent="0.25">
      <c r="A7" s="17">
        <v>44922</v>
      </c>
      <c r="B7" s="19">
        <v>1750</v>
      </c>
      <c r="I7" t="s">
        <v>89</v>
      </c>
      <c r="J7">
        <f>AVERAGE(B5:B32)</f>
        <v>5495.8928571428569</v>
      </c>
    </row>
    <row r="8" spans="1:10" x14ac:dyDescent="0.25">
      <c r="A8" s="17">
        <v>44923</v>
      </c>
      <c r="B8" s="19">
        <v>4945</v>
      </c>
      <c r="I8" t="s">
        <v>90</v>
      </c>
      <c r="J8">
        <f>MEDIAN(B5:B32)</f>
        <v>4060</v>
      </c>
    </row>
    <row r="9" spans="1:10" x14ac:dyDescent="0.25">
      <c r="A9" s="17">
        <v>44924</v>
      </c>
      <c r="B9" s="19">
        <v>3020</v>
      </c>
      <c r="I9" t="s">
        <v>91</v>
      </c>
      <c r="J9">
        <f>_xlfn.STDEV.P(B5:B32)</f>
        <v>4626.4021144118778</v>
      </c>
    </row>
    <row r="10" spans="1:10" x14ac:dyDescent="0.25">
      <c r="A10" s="17">
        <v>44925</v>
      </c>
      <c r="B10" s="19">
        <v>11945</v>
      </c>
      <c r="I10" t="s">
        <v>93</v>
      </c>
      <c r="J10">
        <f>COUNTIF(B5:B32, "&gt;5495")</f>
        <v>8</v>
      </c>
    </row>
    <row r="11" spans="1:10" x14ac:dyDescent="0.25">
      <c r="A11" s="17">
        <v>44926</v>
      </c>
      <c r="B11" s="19">
        <v>23235</v>
      </c>
      <c r="I11" t="s">
        <v>92</v>
      </c>
      <c r="J11">
        <f>COUNTIF(B5:B32, "&lt;5495")</f>
        <v>20</v>
      </c>
    </row>
    <row r="12" spans="1:10" x14ac:dyDescent="0.25">
      <c r="A12" s="17">
        <v>44927</v>
      </c>
      <c r="B12" s="19">
        <v>7405</v>
      </c>
    </row>
    <row r="13" spans="1:10" x14ac:dyDescent="0.25">
      <c r="A13" s="17">
        <v>44928</v>
      </c>
      <c r="B13" s="19">
        <v>3610</v>
      </c>
    </row>
    <row r="14" spans="1:10" x14ac:dyDescent="0.25">
      <c r="A14" s="17">
        <v>44930</v>
      </c>
      <c r="B14" s="19">
        <v>3355</v>
      </c>
    </row>
    <row r="15" spans="1:10" x14ac:dyDescent="0.25">
      <c r="A15" s="17">
        <v>44931</v>
      </c>
      <c r="B15" s="19">
        <v>5675</v>
      </c>
    </row>
    <row r="16" spans="1:10" x14ac:dyDescent="0.25">
      <c r="A16" s="17">
        <v>44932</v>
      </c>
      <c r="B16" s="19">
        <v>5090</v>
      </c>
    </row>
    <row r="17" spans="1:2" x14ac:dyDescent="0.25">
      <c r="A17" s="17">
        <v>44933</v>
      </c>
      <c r="B17" s="19">
        <v>5710</v>
      </c>
    </row>
    <row r="18" spans="1:2" x14ac:dyDescent="0.25">
      <c r="A18" s="17">
        <v>44934</v>
      </c>
      <c r="B18" s="19">
        <v>3915</v>
      </c>
    </row>
    <row r="19" spans="1:2" x14ac:dyDescent="0.25">
      <c r="A19" s="17">
        <v>44935</v>
      </c>
      <c r="B19" s="19">
        <v>4620</v>
      </c>
    </row>
    <row r="20" spans="1:2" x14ac:dyDescent="0.25">
      <c r="A20" s="17">
        <v>44937</v>
      </c>
      <c r="B20" s="19">
        <v>4725</v>
      </c>
    </row>
    <row r="21" spans="1:2" x14ac:dyDescent="0.25">
      <c r="A21" s="17">
        <v>44938</v>
      </c>
      <c r="B21" s="19">
        <v>2420</v>
      </c>
    </row>
    <row r="22" spans="1:2" x14ac:dyDescent="0.25">
      <c r="A22" s="17">
        <v>44939</v>
      </c>
      <c r="B22" s="19">
        <v>3480</v>
      </c>
    </row>
    <row r="23" spans="1:2" x14ac:dyDescent="0.25">
      <c r="A23" s="17">
        <v>44940</v>
      </c>
      <c r="B23" s="19">
        <v>7590</v>
      </c>
    </row>
    <row r="24" spans="1:2" x14ac:dyDescent="0.25">
      <c r="A24" s="17">
        <v>44941</v>
      </c>
      <c r="B24" s="19">
        <v>1360</v>
      </c>
    </row>
    <row r="25" spans="1:2" x14ac:dyDescent="0.25">
      <c r="A25" s="17">
        <v>44942</v>
      </c>
      <c r="B25" s="19">
        <v>3655</v>
      </c>
    </row>
    <row r="26" spans="1:2" x14ac:dyDescent="0.25">
      <c r="A26" s="17">
        <v>44944</v>
      </c>
      <c r="B26" s="19">
        <v>3065</v>
      </c>
    </row>
    <row r="27" spans="1:2" x14ac:dyDescent="0.25">
      <c r="A27" s="17">
        <v>44945</v>
      </c>
      <c r="B27" s="19">
        <v>3485</v>
      </c>
    </row>
    <row r="28" spans="1:2" x14ac:dyDescent="0.25">
      <c r="A28" s="17">
        <v>44946</v>
      </c>
      <c r="B28" s="19">
        <v>2075</v>
      </c>
    </row>
    <row r="29" spans="1:2" x14ac:dyDescent="0.25">
      <c r="A29" s="17">
        <v>44947</v>
      </c>
      <c r="B29" s="19">
        <v>4610</v>
      </c>
    </row>
    <row r="30" spans="1:2" x14ac:dyDescent="0.25">
      <c r="A30" s="17">
        <v>44948</v>
      </c>
      <c r="B30" s="19">
        <v>2885</v>
      </c>
    </row>
    <row r="31" spans="1:2" x14ac:dyDescent="0.25">
      <c r="A31" s="17">
        <v>44949</v>
      </c>
      <c r="B31" s="19">
        <v>1850</v>
      </c>
    </row>
    <row r="32" spans="1:2" x14ac:dyDescent="0.25">
      <c r="A32" s="17">
        <v>44951</v>
      </c>
      <c r="B32" s="19">
        <v>4205</v>
      </c>
    </row>
    <row r="33" spans="1:2" x14ac:dyDescent="0.25">
      <c r="A33" s="13" t="s">
        <v>97</v>
      </c>
      <c r="B33" s="19"/>
    </row>
    <row r="34" spans="1:2" x14ac:dyDescent="0.25">
      <c r="A34" s="14" t="s">
        <v>78</v>
      </c>
      <c r="B34" s="20">
        <v>153885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AFAB9-B86B-49B0-AD66-ACD58C2E0B32}">
  <dimension ref="A3:B10"/>
  <sheetViews>
    <sheetView workbookViewId="0">
      <selection activeCell="L6" sqref="L6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7" t="s">
        <v>87</v>
      </c>
      <c r="B3" t="s">
        <v>79</v>
      </c>
    </row>
    <row r="4" spans="1:2" x14ac:dyDescent="0.25">
      <c r="A4" s="8" t="s">
        <v>30</v>
      </c>
      <c r="B4" s="2">
        <v>11040</v>
      </c>
    </row>
    <row r="5" spans="1:2" x14ac:dyDescent="0.25">
      <c r="A5" s="8" t="s">
        <v>16</v>
      </c>
      <c r="B5" s="2">
        <v>6400</v>
      </c>
    </row>
    <row r="6" spans="1:2" x14ac:dyDescent="0.25">
      <c r="A6" s="8" t="s">
        <v>3</v>
      </c>
      <c r="B6" s="2">
        <v>37450</v>
      </c>
    </row>
    <row r="7" spans="1:2" x14ac:dyDescent="0.25">
      <c r="A7" s="8" t="s">
        <v>21</v>
      </c>
      <c r="B7" s="2">
        <v>38945</v>
      </c>
    </row>
    <row r="8" spans="1:2" x14ac:dyDescent="0.25">
      <c r="A8" s="8" t="s">
        <v>12</v>
      </c>
      <c r="B8" s="2">
        <v>52450</v>
      </c>
    </row>
    <row r="9" spans="1:2" x14ac:dyDescent="0.25">
      <c r="A9" s="8" t="s">
        <v>24</v>
      </c>
      <c r="B9" s="2">
        <v>7600</v>
      </c>
    </row>
    <row r="10" spans="1:2" x14ac:dyDescent="0.25">
      <c r="A10" s="8" t="s">
        <v>78</v>
      </c>
      <c r="B10" s="2">
        <v>153885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EDE1-5925-4492-B00B-552810827B18}">
  <dimension ref="A2:M13"/>
  <sheetViews>
    <sheetView workbookViewId="0">
      <selection activeCell="F5" sqref="F5:H11"/>
    </sheetView>
  </sheetViews>
  <sheetFormatPr defaultRowHeight="15" x14ac:dyDescent="0.25"/>
  <cols>
    <col min="1" max="1" width="11.85546875" bestFit="1" customWidth="1"/>
    <col min="2" max="2" width="27.7109375" bestFit="1" customWidth="1"/>
    <col min="3" max="4" width="12.5703125" bestFit="1" customWidth="1"/>
    <col min="5" max="5" width="20.28515625" bestFit="1" customWidth="1"/>
    <col min="6" max="7" width="6.140625" bestFit="1" customWidth="1"/>
    <col min="8" max="8" width="12.28515625" bestFit="1" customWidth="1"/>
    <col min="9" max="9" width="10.7109375" bestFit="1" customWidth="1"/>
    <col min="10" max="11" width="7.140625" bestFit="1" customWidth="1"/>
    <col min="12" max="12" width="19.5703125" customWidth="1"/>
    <col min="13" max="13" width="16" customWidth="1"/>
    <col min="14" max="82" width="7.140625" bestFit="1" customWidth="1"/>
    <col min="83" max="83" width="8.140625" bestFit="1" customWidth="1"/>
    <col min="84" max="84" width="11.28515625" bestFit="1" customWidth="1"/>
    <col min="85" max="85" width="8.28515625" bestFit="1" customWidth="1"/>
    <col min="86" max="87" width="6.140625" bestFit="1" customWidth="1"/>
    <col min="88" max="99" width="7.140625" bestFit="1" customWidth="1"/>
    <col min="100" max="113" width="8.140625" bestFit="1" customWidth="1"/>
    <col min="114" max="114" width="11.28515625" bestFit="1" customWidth="1"/>
    <col min="115" max="115" width="10.5703125" bestFit="1" customWidth="1"/>
    <col min="116" max="116" width="6.140625" bestFit="1" customWidth="1"/>
    <col min="117" max="130" width="7.140625" bestFit="1" customWidth="1"/>
    <col min="131" max="145" width="8.140625" bestFit="1" customWidth="1"/>
    <col min="146" max="146" width="9.7109375" bestFit="1" customWidth="1"/>
    <col min="147" max="147" width="13.7109375" bestFit="1" customWidth="1"/>
    <col min="148" max="148" width="9.28515625" bestFit="1" customWidth="1"/>
    <col min="149" max="149" width="6.140625" bestFit="1" customWidth="1"/>
    <col min="150" max="162" width="7.140625" bestFit="1" customWidth="1"/>
    <col min="163" max="174" width="8.140625" bestFit="1" customWidth="1"/>
    <col min="175" max="175" width="12.28515625" bestFit="1" customWidth="1"/>
    <col min="176" max="176" width="13.85546875" bestFit="1" customWidth="1"/>
    <col min="177" max="177" width="6.140625" bestFit="1" customWidth="1"/>
    <col min="178" max="182" width="7.140625" bestFit="1" customWidth="1"/>
    <col min="183" max="188" width="8.140625" bestFit="1" customWidth="1"/>
    <col min="189" max="189" width="17" bestFit="1" customWidth="1"/>
    <col min="190" max="190" width="11.28515625" bestFit="1" customWidth="1"/>
  </cols>
  <sheetData>
    <row r="2" spans="1:13" x14ac:dyDescent="0.25">
      <c r="A2" s="7" t="s">
        <v>4</v>
      </c>
      <c r="B2" t="s">
        <v>82</v>
      </c>
    </row>
    <row r="4" spans="1:13" x14ac:dyDescent="0.25">
      <c r="A4" s="7" t="s">
        <v>83</v>
      </c>
      <c r="B4" t="s">
        <v>81</v>
      </c>
      <c r="C4" s="2" t="s">
        <v>79</v>
      </c>
      <c r="D4" t="s">
        <v>80</v>
      </c>
      <c r="F4" s="10" t="s">
        <v>84</v>
      </c>
      <c r="H4" s="10" t="s">
        <v>85</v>
      </c>
      <c r="L4" s="10" t="s">
        <v>81</v>
      </c>
      <c r="M4" s="10" t="s">
        <v>86</v>
      </c>
    </row>
    <row r="5" spans="1:13" x14ac:dyDescent="0.25">
      <c r="A5" s="8" t="s">
        <v>10</v>
      </c>
      <c r="B5">
        <v>304</v>
      </c>
      <c r="C5" s="2">
        <v>21550</v>
      </c>
      <c r="D5">
        <v>7015</v>
      </c>
      <c r="F5" t="s">
        <v>10</v>
      </c>
      <c r="H5" s="2">
        <v>21550</v>
      </c>
      <c r="L5">
        <v>304</v>
      </c>
      <c r="M5" s="2">
        <v>7015</v>
      </c>
    </row>
    <row r="6" spans="1:13" x14ac:dyDescent="0.25">
      <c r="A6" s="8" t="s">
        <v>11</v>
      </c>
      <c r="B6">
        <v>29</v>
      </c>
      <c r="C6" s="2">
        <v>1750</v>
      </c>
      <c r="D6">
        <v>650</v>
      </c>
      <c r="F6" t="s">
        <v>11</v>
      </c>
      <c r="H6" s="2">
        <v>1750</v>
      </c>
      <c r="L6">
        <v>29</v>
      </c>
      <c r="M6" s="2">
        <v>650</v>
      </c>
    </row>
    <row r="7" spans="1:13" x14ac:dyDescent="0.25">
      <c r="A7" s="8" t="s">
        <v>35</v>
      </c>
      <c r="B7">
        <v>176</v>
      </c>
      <c r="C7" s="2">
        <v>15570</v>
      </c>
      <c r="D7">
        <v>5270</v>
      </c>
      <c r="F7" t="s">
        <v>35</v>
      </c>
      <c r="H7" s="2">
        <f>C7+C12</f>
        <v>20295</v>
      </c>
      <c r="L7">
        <f>B7+B12</f>
        <v>244</v>
      </c>
      <c r="M7" s="2">
        <f>D7+D12</f>
        <v>6995</v>
      </c>
    </row>
    <row r="8" spans="1:13" x14ac:dyDescent="0.25">
      <c r="A8" s="8" t="s">
        <v>36</v>
      </c>
      <c r="B8">
        <v>206</v>
      </c>
      <c r="C8" s="2">
        <v>14600</v>
      </c>
      <c r="D8">
        <v>4865</v>
      </c>
      <c r="F8" t="s">
        <v>36</v>
      </c>
      <c r="H8" s="2">
        <v>14600</v>
      </c>
      <c r="L8">
        <v>206</v>
      </c>
      <c r="M8" s="2">
        <v>4865</v>
      </c>
    </row>
    <row r="9" spans="1:13" x14ac:dyDescent="0.25">
      <c r="A9" s="8" t="s">
        <v>37</v>
      </c>
      <c r="B9">
        <v>267</v>
      </c>
      <c r="C9" s="2">
        <v>22590</v>
      </c>
      <c r="D9">
        <v>7970</v>
      </c>
      <c r="F9" t="s">
        <v>37</v>
      </c>
      <c r="H9" s="2">
        <v>22590</v>
      </c>
      <c r="L9">
        <v>267</v>
      </c>
      <c r="M9" s="2">
        <f>D9</f>
        <v>7970</v>
      </c>
    </row>
    <row r="10" spans="1:13" x14ac:dyDescent="0.25">
      <c r="A10" s="8" t="s">
        <v>38</v>
      </c>
      <c r="B10">
        <v>405</v>
      </c>
      <c r="C10" s="2">
        <v>41145</v>
      </c>
      <c r="D10">
        <v>13640</v>
      </c>
      <c r="F10" t="s">
        <v>38</v>
      </c>
      <c r="H10" s="2">
        <v>41145</v>
      </c>
      <c r="L10">
        <v>405</v>
      </c>
      <c r="M10" s="2">
        <f>D10</f>
        <v>13640</v>
      </c>
    </row>
    <row r="11" spans="1:13" x14ac:dyDescent="0.25">
      <c r="A11" s="8" t="s">
        <v>6</v>
      </c>
      <c r="B11">
        <v>351</v>
      </c>
      <c r="C11" s="2">
        <v>31955</v>
      </c>
      <c r="D11">
        <v>10970</v>
      </c>
      <c r="F11" t="s">
        <v>6</v>
      </c>
      <c r="H11" s="2">
        <v>31955</v>
      </c>
      <c r="L11">
        <v>351</v>
      </c>
      <c r="M11" s="2">
        <f>D11</f>
        <v>10970</v>
      </c>
    </row>
    <row r="12" spans="1:13" x14ac:dyDescent="0.25">
      <c r="A12" s="8" t="s">
        <v>42</v>
      </c>
      <c r="B12">
        <v>68</v>
      </c>
      <c r="C12" s="2">
        <v>4725</v>
      </c>
      <c r="D12">
        <v>1725</v>
      </c>
      <c r="F12" s="10" t="s">
        <v>78</v>
      </c>
      <c r="H12" s="2">
        <f>C13</f>
        <v>153885</v>
      </c>
      <c r="L12">
        <f>B13</f>
        <v>1806</v>
      </c>
      <c r="M12" s="2">
        <f>D13</f>
        <v>52105</v>
      </c>
    </row>
    <row r="13" spans="1:13" x14ac:dyDescent="0.25">
      <c r="A13" s="8" t="s">
        <v>78</v>
      </c>
      <c r="B13">
        <v>1806</v>
      </c>
      <c r="C13" s="2">
        <v>153885</v>
      </c>
      <c r="D13" s="2">
        <v>52105</v>
      </c>
    </row>
  </sheetData>
  <pageMargins left="0.7" right="0.7" top="0.75" bottom="0.75" header="0.3" footer="0.3"/>
  <pageSetup orientation="portrait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EEE0-7683-44CA-A13B-E1C6EF846F9B}">
  <dimension ref="A1:L32"/>
  <sheetViews>
    <sheetView topLeftCell="C1" workbookViewId="0">
      <selection activeCell="L1" activeCellId="1" sqref="H1:H1048576 L1:L1048576"/>
    </sheetView>
  </sheetViews>
  <sheetFormatPr defaultRowHeight="15" x14ac:dyDescent="0.25"/>
  <cols>
    <col min="2" max="2" width="12.28515625" customWidth="1"/>
    <col min="3" max="3" width="14.140625" customWidth="1"/>
    <col min="4" max="4" width="17.7109375" customWidth="1"/>
    <col min="9" max="9" width="15.28515625" customWidth="1"/>
    <col min="10" max="10" width="15.7109375" customWidth="1"/>
    <col min="11" max="11" width="12.140625" customWidth="1"/>
  </cols>
  <sheetData>
    <row r="1" spans="1:12" x14ac:dyDescent="0.25">
      <c r="A1" t="s">
        <v>87</v>
      </c>
      <c r="B1" s="7" t="s">
        <v>81</v>
      </c>
      <c r="C1" t="s">
        <v>79</v>
      </c>
      <c r="D1" t="s">
        <v>80</v>
      </c>
      <c r="H1" t="s">
        <v>47</v>
      </c>
      <c r="J1" t="s">
        <v>85</v>
      </c>
      <c r="K1" t="s">
        <v>86</v>
      </c>
      <c r="L1" t="s">
        <v>113</v>
      </c>
    </row>
    <row r="2" spans="1:12" x14ac:dyDescent="0.25">
      <c r="A2" s="21" t="s">
        <v>64</v>
      </c>
      <c r="B2">
        <v>3</v>
      </c>
      <c r="C2" s="2">
        <v>210</v>
      </c>
      <c r="D2" s="2">
        <v>60</v>
      </c>
      <c r="H2" s="22"/>
      <c r="I2" s="24"/>
      <c r="J2" s="26"/>
      <c r="K2" s="26"/>
    </row>
    <row r="3" spans="1:12" x14ac:dyDescent="0.25">
      <c r="A3" s="8" t="s">
        <v>70</v>
      </c>
      <c r="B3">
        <v>4</v>
      </c>
      <c r="C3" s="2">
        <v>280</v>
      </c>
      <c r="D3" s="2">
        <v>80</v>
      </c>
      <c r="H3" s="8" t="s">
        <v>49</v>
      </c>
      <c r="J3" s="2">
        <v>13650</v>
      </c>
      <c r="K3" s="2">
        <v>3900</v>
      </c>
      <c r="L3" s="6">
        <f>(K3/J3)</f>
        <v>0.2857142857142857</v>
      </c>
    </row>
    <row r="4" spans="1:12" x14ac:dyDescent="0.25">
      <c r="A4" s="8" t="s">
        <v>69</v>
      </c>
      <c r="B4">
        <v>4</v>
      </c>
      <c r="C4" s="2">
        <v>260</v>
      </c>
      <c r="D4" s="2">
        <v>80</v>
      </c>
      <c r="H4" s="8" t="s">
        <v>55</v>
      </c>
      <c r="J4" s="2">
        <v>11200</v>
      </c>
      <c r="K4" s="2">
        <v>3200</v>
      </c>
      <c r="L4" s="6">
        <f t="shared" ref="L4:L32" si="0">(K4/J4)</f>
        <v>0.2857142857142857</v>
      </c>
    </row>
    <row r="5" spans="1:12" x14ac:dyDescent="0.25">
      <c r="A5" s="8" t="s">
        <v>50</v>
      </c>
      <c r="B5">
        <v>7</v>
      </c>
      <c r="C5" s="2">
        <v>2800</v>
      </c>
      <c r="D5" s="2">
        <v>560</v>
      </c>
      <c r="H5" s="8" t="s">
        <v>56</v>
      </c>
      <c r="J5" s="2">
        <v>11200</v>
      </c>
      <c r="K5" s="2">
        <v>3200</v>
      </c>
      <c r="L5" s="6">
        <f t="shared" si="0"/>
        <v>0.2857142857142857</v>
      </c>
    </row>
    <row r="6" spans="1:12" x14ac:dyDescent="0.25">
      <c r="A6" s="8" t="s">
        <v>54</v>
      </c>
      <c r="B6">
        <v>14</v>
      </c>
      <c r="C6" s="2">
        <v>5600</v>
      </c>
      <c r="D6" s="2">
        <v>1400</v>
      </c>
      <c r="H6" s="8" t="s">
        <v>57</v>
      </c>
      <c r="J6" s="2">
        <v>10800</v>
      </c>
      <c r="K6" s="2">
        <v>3600</v>
      </c>
      <c r="L6" s="6">
        <f t="shared" si="0"/>
        <v>0.33333333333333331</v>
      </c>
    </row>
    <row r="7" spans="1:12" x14ac:dyDescent="0.25">
      <c r="A7" s="8" t="s">
        <v>66</v>
      </c>
      <c r="B7">
        <v>23</v>
      </c>
      <c r="C7" s="2">
        <v>460</v>
      </c>
      <c r="D7" s="2">
        <v>230</v>
      </c>
      <c r="H7" s="8" t="s">
        <v>77</v>
      </c>
      <c r="J7" s="2">
        <v>10800</v>
      </c>
      <c r="K7" s="2">
        <v>3600</v>
      </c>
      <c r="L7" s="6">
        <f t="shared" si="0"/>
        <v>0.33333333333333331</v>
      </c>
    </row>
    <row r="8" spans="1:12" x14ac:dyDescent="0.25">
      <c r="A8" s="8" t="s">
        <v>57</v>
      </c>
      <c r="B8">
        <v>24</v>
      </c>
      <c r="C8" s="2">
        <v>10800</v>
      </c>
      <c r="D8" s="2">
        <v>3600</v>
      </c>
      <c r="H8" s="8" t="s">
        <v>48</v>
      </c>
      <c r="J8" s="2">
        <v>10000</v>
      </c>
      <c r="K8" s="2">
        <v>5000</v>
      </c>
      <c r="L8" s="6">
        <f t="shared" si="0"/>
        <v>0.5</v>
      </c>
    </row>
    <row r="9" spans="1:12" x14ac:dyDescent="0.25">
      <c r="A9" s="8" t="s">
        <v>58</v>
      </c>
      <c r="B9">
        <v>24</v>
      </c>
      <c r="C9" s="2">
        <v>3600</v>
      </c>
      <c r="D9" s="2">
        <v>1200</v>
      </c>
      <c r="H9" s="8" t="s">
        <v>53</v>
      </c>
      <c r="J9" s="2">
        <v>8400</v>
      </c>
      <c r="K9" s="2">
        <v>4200</v>
      </c>
      <c r="L9" s="6">
        <f t="shared" si="0"/>
        <v>0.5</v>
      </c>
    </row>
    <row r="10" spans="1:12" x14ac:dyDescent="0.25">
      <c r="A10" s="8" t="s">
        <v>67</v>
      </c>
      <c r="B10">
        <v>28</v>
      </c>
      <c r="C10" s="2">
        <v>2800</v>
      </c>
      <c r="D10" s="2">
        <v>1120</v>
      </c>
      <c r="H10" s="8" t="s">
        <v>52</v>
      </c>
      <c r="J10" s="2">
        <v>8250</v>
      </c>
      <c r="K10" s="2">
        <v>3300</v>
      </c>
      <c r="L10" s="6">
        <f t="shared" si="0"/>
        <v>0.4</v>
      </c>
    </row>
    <row r="11" spans="1:12" x14ac:dyDescent="0.25">
      <c r="A11" s="8" t="s">
        <v>55</v>
      </c>
      <c r="B11">
        <v>32</v>
      </c>
      <c r="C11" s="2">
        <v>11200</v>
      </c>
      <c r="D11" s="2">
        <v>3200</v>
      </c>
      <c r="H11" s="8" t="s">
        <v>63</v>
      </c>
      <c r="J11" s="2">
        <v>7540</v>
      </c>
      <c r="K11" s="2">
        <v>2900</v>
      </c>
      <c r="L11" s="6">
        <f t="shared" si="0"/>
        <v>0.38461538461538464</v>
      </c>
    </row>
    <row r="12" spans="1:12" x14ac:dyDescent="0.25">
      <c r="A12" s="8" t="s">
        <v>56</v>
      </c>
      <c r="B12">
        <v>32</v>
      </c>
      <c r="C12" s="2">
        <v>11200</v>
      </c>
      <c r="D12" s="2">
        <v>3200</v>
      </c>
      <c r="H12" s="8" t="s">
        <v>51</v>
      </c>
      <c r="J12" s="2">
        <v>6400</v>
      </c>
      <c r="K12" s="2">
        <v>2400</v>
      </c>
      <c r="L12" s="6">
        <f t="shared" si="0"/>
        <v>0.375</v>
      </c>
    </row>
    <row r="13" spans="1:12" x14ac:dyDescent="0.25">
      <c r="A13" s="8" t="s">
        <v>52</v>
      </c>
      <c r="B13">
        <v>33</v>
      </c>
      <c r="C13" s="2">
        <v>8250</v>
      </c>
      <c r="D13" s="2">
        <v>3300</v>
      </c>
      <c r="H13" s="8" t="s">
        <v>61</v>
      </c>
      <c r="J13" s="2">
        <v>6240</v>
      </c>
      <c r="K13" s="2">
        <v>2340</v>
      </c>
      <c r="L13" s="6">
        <f t="shared" si="0"/>
        <v>0.375</v>
      </c>
    </row>
    <row r="14" spans="1:12" x14ac:dyDescent="0.25">
      <c r="A14" s="8" t="s">
        <v>68</v>
      </c>
      <c r="B14">
        <v>33</v>
      </c>
      <c r="C14" s="2">
        <v>2310</v>
      </c>
      <c r="D14" s="2">
        <v>660</v>
      </c>
      <c r="H14" s="8" t="s">
        <v>54</v>
      </c>
      <c r="J14" s="2">
        <v>5600</v>
      </c>
      <c r="K14" s="2">
        <v>1400</v>
      </c>
      <c r="L14" s="6">
        <f t="shared" si="0"/>
        <v>0.25</v>
      </c>
    </row>
    <row r="15" spans="1:12" x14ac:dyDescent="0.25">
      <c r="A15" s="8" t="s">
        <v>77</v>
      </c>
      <c r="B15">
        <v>36</v>
      </c>
      <c r="C15" s="2">
        <v>10800</v>
      </c>
      <c r="D15" s="2">
        <v>3600</v>
      </c>
      <c r="H15" s="8" t="s">
        <v>59</v>
      </c>
      <c r="J15" s="2">
        <v>4850</v>
      </c>
      <c r="K15" s="2">
        <v>1940</v>
      </c>
      <c r="L15" s="6">
        <f t="shared" si="0"/>
        <v>0.4</v>
      </c>
    </row>
    <row r="16" spans="1:12" x14ac:dyDescent="0.25">
      <c r="A16" s="8" t="s">
        <v>49</v>
      </c>
      <c r="B16">
        <v>39</v>
      </c>
      <c r="C16" s="2">
        <v>13650</v>
      </c>
      <c r="D16" s="2">
        <v>3900</v>
      </c>
      <c r="H16" s="8" t="s">
        <v>62</v>
      </c>
      <c r="J16" s="2">
        <v>4345</v>
      </c>
      <c r="K16" s="2">
        <v>1975</v>
      </c>
      <c r="L16" s="6">
        <f t="shared" si="0"/>
        <v>0.45454545454545453</v>
      </c>
    </row>
    <row r="17" spans="1:12" x14ac:dyDescent="0.25">
      <c r="A17" s="8" t="s">
        <v>53</v>
      </c>
      <c r="B17">
        <v>42</v>
      </c>
      <c r="C17" s="2">
        <v>8400</v>
      </c>
      <c r="D17" s="2">
        <v>4200</v>
      </c>
      <c r="H17" s="8" t="s">
        <v>76</v>
      </c>
      <c r="J17" s="2">
        <v>3780</v>
      </c>
      <c r="K17" s="2">
        <v>540</v>
      </c>
      <c r="L17" s="6">
        <f t="shared" si="0"/>
        <v>0.14285714285714285</v>
      </c>
    </row>
    <row r="18" spans="1:12" x14ac:dyDescent="0.25">
      <c r="A18" s="8" t="s">
        <v>74</v>
      </c>
      <c r="B18">
        <v>45</v>
      </c>
      <c r="C18" s="2">
        <v>1350</v>
      </c>
      <c r="D18" s="2">
        <v>225</v>
      </c>
      <c r="H18" s="8" t="s">
        <v>58</v>
      </c>
      <c r="J18" s="2">
        <v>3600</v>
      </c>
      <c r="K18" s="2">
        <v>1200</v>
      </c>
      <c r="L18" s="6">
        <f t="shared" si="0"/>
        <v>0.33333333333333331</v>
      </c>
    </row>
    <row r="19" spans="1:12" x14ac:dyDescent="0.25">
      <c r="A19" s="8" t="s">
        <v>48</v>
      </c>
      <c r="B19">
        <v>50</v>
      </c>
      <c r="C19" s="2">
        <v>10000</v>
      </c>
      <c r="D19" s="2">
        <v>5000</v>
      </c>
      <c r="H19" s="8" t="s">
        <v>60</v>
      </c>
      <c r="J19" s="2">
        <v>3520</v>
      </c>
      <c r="K19" s="2">
        <v>1320</v>
      </c>
      <c r="L19" s="6">
        <f t="shared" si="0"/>
        <v>0.375</v>
      </c>
    </row>
    <row r="20" spans="1:12" x14ac:dyDescent="0.25">
      <c r="A20" s="8" t="s">
        <v>62</v>
      </c>
      <c r="B20">
        <v>79</v>
      </c>
      <c r="C20" s="2">
        <v>4345</v>
      </c>
      <c r="D20" s="2">
        <v>1975</v>
      </c>
      <c r="H20" s="8" t="s">
        <v>73</v>
      </c>
      <c r="J20" s="2">
        <v>3480</v>
      </c>
      <c r="K20" s="2">
        <v>580</v>
      </c>
      <c r="L20" s="6">
        <f t="shared" si="0"/>
        <v>0.16666666666666666</v>
      </c>
    </row>
    <row r="21" spans="1:12" x14ac:dyDescent="0.25">
      <c r="A21" s="8" t="s">
        <v>75</v>
      </c>
      <c r="B21">
        <v>81</v>
      </c>
      <c r="C21" s="2">
        <v>2430</v>
      </c>
      <c r="D21" s="2">
        <v>405</v>
      </c>
      <c r="H21" s="8" t="s">
        <v>50</v>
      </c>
      <c r="J21" s="2">
        <v>2800</v>
      </c>
      <c r="K21" s="2">
        <v>560</v>
      </c>
      <c r="L21" s="6">
        <f t="shared" si="0"/>
        <v>0.2</v>
      </c>
    </row>
    <row r="22" spans="1:12" x14ac:dyDescent="0.25">
      <c r="A22" s="8" t="s">
        <v>65</v>
      </c>
      <c r="B22">
        <v>86</v>
      </c>
      <c r="C22" s="2">
        <v>2580</v>
      </c>
      <c r="D22" s="2">
        <v>860</v>
      </c>
      <c r="H22" s="8" t="s">
        <v>67</v>
      </c>
      <c r="J22" s="2">
        <v>2800</v>
      </c>
      <c r="K22" s="2">
        <v>1120</v>
      </c>
      <c r="L22" s="6">
        <f t="shared" si="0"/>
        <v>0.4</v>
      </c>
    </row>
    <row r="23" spans="1:12" x14ac:dyDescent="0.25">
      <c r="A23" s="8" t="s">
        <v>60</v>
      </c>
      <c r="B23">
        <v>88</v>
      </c>
      <c r="C23" s="2">
        <v>3520</v>
      </c>
      <c r="D23" s="2">
        <v>1320</v>
      </c>
      <c r="H23" s="8" t="s">
        <v>72</v>
      </c>
      <c r="J23" s="2">
        <v>2650</v>
      </c>
      <c r="K23" s="2">
        <v>530</v>
      </c>
      <c r="L23" s="6">
        <f t="shared" si="0"/>
        <v>0.2</v>
      </c>
    </row>
    <row r="24" spans="1:12" x14ac:dyDescent="0.25">
      <c r="A24" s="8" t="s">
        <v>59</v>
      </c>
      <c r="B24">
        <v>97</v>
      </c>
      <c r="C24" s="2">
        <v>4850</v>
      </c>
      <c r="D24" s="2">
        <v>1940</v>
      </c>
      <c r="H24" s="8" t="s">
        <v>65</v>
      </c>
      <c r="J24" s="2">
        <v>2580</v>
      </c>
      <c r="K24" s="2">
        <v>860</v>
      </c>
      <c r="L24" s="6">
        <f t="shared" si="0"/>
        <v>0.33333333333333331</v>
      </c>
    </row>
    <row r="25" spans="1:12" x14ac:dyDescent="0.25">
      <c r="A25" s="8" t="s">
        <v>72</v>
      </c>
      <c r="B25">
        <v>106</v>
      </c>
      <c r="C25" s="2">
        <v>2650</v>
      </c>
      <c r="D25" s="2">
        <v>530</v>
      </c>
      <c r="H25" s="8" t="s">
        <v>75</v>
      </c>
      <c r="J25" s="2">
        <v>2430</v>
      </c>
      <c r="K25" s="2">
        <v>405</v>
      </c>
      <c r="L25" s="6">
        <f t="shared" si="0"/>
        <v>0.16666666666666666</v>
      </c>
    </row>
    <row r="26" spans="1:12" x14ac:dyDescent="0.25">
      <c r="A26" s="8" t="s">
        <v>76</v>
      </c>
      <c r="B26">
        <v>108</v>
      </c>
      <c r="C26" s="2">
        <v>3780</v>
      </c>
      <c r="D26" s="2">
        <v>540</v>
      </c>
      <c r="H26" s="8" t="s">
        <v>68</v>
      </c>
      <c r="J26" s="2">
        <v>2310</v>
      </c>
      <c r="K26" s="2">
        <v>660</v>
      </c>
      <c r="L26" s="6">
        <f t="shared" si="0"/>
        <v>0.2857142857142857</v>
      </c>
    </row>
    <row r="27" spans="1:12" x14ac:dyDescent="0.25">
      <c r="A27" s="8" t="s">
        <v>63</v>
      </c>
      <c r="B27">
        <v>116</v>
      </c>
      <c r="C27" s="2">
        <v>7540</v>
      </c>
      <c r="D27" s="2">
        <v>2900</v>
      </c>
      <c r="H27" s="8" t="s">
        <v>71</v>
      </c>
      <c r="J27" s="2">
        <v>2100</v>
      </c>
      <c r="K27" s="2">
        <v>700</v>
      </c>
      <c r="L27" s="6">
        <f t="shared" si="0"/>
        <v>0.33333333333333331</v>
      </c>
    </row>
    <row r="28" spans="1:12" x14ac:dyDescent="0.25">
      <c r="A28" s="8" t="s">
        <v>73</v>
      </c>
      <c r="B28">
        <v>116</v>
      </c>
      <c r="C28" s="2">
        <v>3480</v>
      </c>
      <c r="D28" s="2">
        <v>580</v>
      </c>
      <c r="H28" s="8" t="s">
        <v>74</v>
      </c>
      <c r="J28" s="2">
        <v>1350</v>
      </c>
      <c r="K28" s="2">
        <v>225</v>
      </c>
      <c r="L28" s="6">
        <f t="shared" si="0"/>
        <v>0.16666666666666666</v>
      </c>
    </row>
    <row r="29" spans="1:12" x14ac:dyDescent="0.25">
      <c r="A29" s="8" t="s">
        <v>71</v>
      </c>
      <c r="B29">
        <v>140</v>
      </c>
      <c r="C29" s="2">
        <v>2100</v>
      </c>
      <c r="D29" s="2">
        <v>700</v>
      </c>
      <c r="H29" s="8" t="s">
        <v>66</v>
      </c>
      <c r="J29" s="2">
        <v>460</v>
      </c>
      <c r="K29" s="2">
        <v>230</v>
      </c>
      <c r="L29" s="6">
        <f t="shared" si="0"/>
        <v>0.5</v>
      </c>
    </row>
    <row r="30" spans="1:12" x14ac:dyDescent="0.25">
      <c r="A30" s="8" t="s">
        <v>61</v>
      </c>
      <c r="B30">
        <v>156</v>
      </c>
      <c r="C30" s="2">
        <v>6240</v>
      </c>
      <c r="D30" s="2">
        <v>2340</v>
      </c>
      <c r="H30" s="8" t="s">
        <v>70</v>
      </c>
      <c r="J30" s="2">
        <v>280</v>
      </c>
      <c r="K30" s="2">
        <v>80</v>
      </c>
      <c r="L30" s="6">
        <f t="shared" si="0"/>
        <v>0.2857142857142857</v>
      </c>
    </row>
    <row r="31" spans="1:12" x14ac:dyDescent="0.25">
      <c r="A31" s="8" t="s">
        <v>51</v>
      </c>
      <c r="B31">
        <v>160</v>
      </c>
      <c r="C31" s="2">
        <v>6400</v>
      </c>
      <c r="D31" s="2">
        <v>2400</v>
      </c>
      <c r="H31" s="8" t="s">
        <v>69</v>
      </c>
      <c r="J31" s="2">
        <v>260</v>
      </c>
      <c r="K31" s="2">
        <v>80</v>
      </c>
      <c r="L31" s="6">
        <f t="shared" si="0"/>
        <v>0.30769230769230771</v>
      </c>
    </row>
    <row r="32" spans="1:12" x14ac:dyDescent="0.25">
      <c r="A32" s="8" t="s">
        <v>78</v>
      </c>
      <c r="B32">
        <v>1806</v>
      </c>
      <c r="C32" s="2">
        <v>153885</v>
      </c>
      <c r="D32" s="2">
        <v>52105</v>
      </c>
      <c r="H32" s="23" t="s">
        <v>64</v>
      </c>
      <c r="I32" s="25"/>
      <c r="J32" s="27">
        <v>210</v>
      </c>
      <c r="K32" s="27">
        <v>60</v>
      </c>
      <c r="L32" s="6">
        <f t="shared" si="0"/>
        <v>0.2857142857142857</v>
      </c>
    </row>
  </sheetData>
  <sortState xmlns:xlrd2="http://schemas.microsoft.com/office/spreadsheetml/2017/richdata2" ref="H2:K32">
    <sortCondition descending="1" ref="J2:J32"/>
  </sortState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752F-F27A-401E-9E65-A034958D5AE8}">
  <dimension ref="A3:B10"/>
  <sheetViews>
    <sheetView workbookViewId="0">
      <selection activeCell="E12" sqref="E12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27.7109375" bestFit="1" customWidth="1"/>
    <col min="4" max="11" width="7.140625" bestFit="1" customWidth="1"/>
    <col min="12" max="19" width="8.140625" bestFit="1" customWidth="1"/>
    <col min="20" max="20" width="11.28515625" bestFit="1" customWidth="1"/>
  </cols>
  <sheetData>
    <row r="3" spans="1:2" x14ac:dyDescent="0.25">
      <c r="A3" s="7" t="s">
        <v>87</v>
      </c>
      <c r="B3" t="s">
        <v>79</v>
      </c>
    </row>
    <row r="4" spans="1:2" x14ac:dyDescent="0.25">
      <c r="A4" s="8" t="s">
        <v>30</v>
      </c>
      <c r="B4" s="2">
        <v>11040</v>
      </c>
    </row>
    <row r="5" spans="1:2" x14ac:dyDescent="0.25">
      <c r="A5" s="8" t="s">
        <v>16</v>
      </c>
      <c r="B5" s="2">
        <v>6400</v>
      </c>
    </row>
    <row r="6" spans="1:2" x14ac:dyDescent="0.25">
      <c r="A6" s="8" t="s">
        <v>3</v>
      </c>
      <c r="B6" s="2">
        <v>37450</v>
      </c>
    </row>
    <row r="7" spans="1:2" x14ac:dyDescent="0.25">
      <c r="A7" s="8" t="s">
        <v>21</v>
      </c>
      <c r="B7" s="2">
        <v>38945</v>
      </c>
    </row>
    <row r="8" spans="1:2" x14ac:dyDescent="0.25">
      <c r="A8" s="8" t="s">
        <v>12</v>
      </c>
      <c r="B8" s="2">
        <v>52450</v>
      </c>
    </row>
    <row r="9" spans="1:2" x14ac:dyDescent="0.25">
      <c r="A9" s="8" t="s">
        <v>24</v>
      </c>
      <c r="B9" s="2">
        <v>7600</v>
      </c>
    </row>
    <row r="10" spans="1:2" x14ac:dyDescent="0.25">
      <c r="A10" s="8" t="s">
        <v>78</v>
      </c>
      <c r="B10" s="2">
        <v>153885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C6ABA-92FB-407D-B6FA-77DFBEE1CB61}">
  <dimension ref="A2:J34"/>
  <sheetViews>
    <sheetView zoomScaleNormal="100" workbookViewId="0">
      <selection activeCell="I15" sqref="I15"/>
    </sheetView>
  </sheetViews>
  <sheetFormatPr defaultRowHeight="15" x14ac:dyDescent="0.25"/>
  <cols>
    <col min="1" max="1" width="13.140625" bestFit="1" customWidth="1"/>
    <col min="2" max="3" width="12.5703125" bestFit="1" customWidth="1"/>
    <col min="4" max="4" width="27.7109375" bestFit="1" customWidth="1"/>
    <col min="5" max="5" width="16" customWidth="1"/>
    <col min="6" max="6" width="15.7109375" customWidth="1"/>
    <col min="10" max="10" width="57.28515625" customWidth="1"/>
  </cols>
  <sheetData>
    <row r="2" spans="1:10" x14ac:dyDescent="0.25">
      <c r="B2" s="7" t="s">
        <v>94</v>
      </c>
    </row>
    <row r="3" spans="1:10" x14ac:dyDescent="0.25">
      <c r="A3" s="7" t="s">
        <v>87</v>
      </c>
      <c r="B3" t="s">
        <v>79</v>
      </c>
      <c r="C3" t="s">
        <v>80</v>
      </c>
      <c r="D3" t="s">
        <v>81</v>
      </c>
      <c r="E3" t="s">
        <v>95</v>
      </c>
      <c r="F3" t="s">
        <v>96</v>
      </c>
    </row>
    <row r="4" spans="1:10" x14ac:dyDescent="0.25">
      <c r="A4" s="8" t="s">
        <v>49</v>
      </c>
      <c r="B4" s="2">
        <v>13650</v>
      </c>
      <c r="C4" s="2">
        <v>3900</v>
      </c>
      <c r="D4">
        <v>39</v>
      </c>
      <c r="E4">
        <f>B4/$B$34*(100)</f>
        <v>8.8702602592845299</v>
      </c>
      <c r="F4">
        <f>E4</f>
        <v>8.8702602592845299</v>
      </c>
    </row>
    <row r="5" spans="1:10" x14ac:dyDescent="0.25">
      <c r="A5" s="8" t="s">
        <v>56</v>
      </c>
      <c r="B5" s="2">
        <v>11200</v>
      </c>
      <c r="C5" s="2">
        <v>3200</v>
      </c>
      <c r="D5">
        <v>32</v>
      </c>
      <c r="E5">
        <f t="shared" ref="E5:E33" si="0">B5/$B$34*(100)</f>
        <v>7.2781622640283334</v>
      </c>
      <c r="F5">
        <f>E4+E5</f>
        <v>16.148422523312863</v>
      </c>
      <c r="H5" t="s">
        <v>120</v>
      </c>
      <c r="I5" t="s">
        <v>114</v>
      </c>
      <c r="J5" t="s">
        <v>115</v>
      </c>
    </row>
    <row r="6" spans="1:10" x14ac:dyDescent="0.25">
      <c r="A6" s="8" t="s">
        <v>55</v>
      </c>
      <c r="B6" s="2">
        <v>11200</v>
      </c>
      <c r="C6" s="2">
        <v>3200</v>
      </c>
      <c r="D6">
        <v>32</v>
      </c>
      <c r="E6">
        <f t="shared" si="0"/>
        <v>7.2781622640283334</v>
      </c>
      <c r="F6">
        <f t="shared" ref="F6:F33" si="1">F5+E6</f>
        <v>23.426584787341199</v>
      </c>
      <c r="H6" t="s">
        <v>121</v>
      </c>
      <c r="I6" t="s">
        <v>116</v>
      </c>
      <c r="J6" t="s">
        <v>117</v>
      </c>
    </row>
    <row r="7" spans="1:10" x14ac:dyDescent="0.25">
      <c r="A7" s="8" t="s">
        <v>57</v>
      </c>
      <c r="B7" s="2">
        <v>10800</v>
      </c>
      <c r="C7" s="2">
        <v>3600</v>
      </c>
      <c r="D7">
        <v>24</v>
      </c>
      <c r="E7">
        <f t="shared" si="0"/>
        <v>7.0182278974558923</v>
      </c>
      <c r="F7">
        <f t="shared" si="1"/>
        <v>30.444812684797093</v>
      </c>
      <c r="H7" t="s">
        <v>122</v>
      </c>
      <c r="I7" t="s">
        <v>118</v>
      </c>
      <c r="J7" t="s">
        <v>119</v>
      </c>
    </row>
    <row r="8" spans="1:10" x14ac:dyDescent="0.25">
      <c r="A8" s="8" t="s">
        <v>77</v>
      </c>
      <c r="B8" s="2">
        <v>10800</v>
      </c>
      <c r="C8" s="2">
        <v>3600</v>
      </c>
      <c r="D8">
        <v>36</v>
      </c>
      <c r="E8">
        <f t="shared" si="0"/>
        <v>7.0182278974558923</v>
      </c>
      <c r="F8">
        <f t="shared" si="1"/>
        <v>37.463040582252987</v>
      </c>
    </row>
    <row r="9" spans="1:10" x14ac:dyDescent="0.25">
      <c r="A9" s="8" t="s">
        <v>48</v>
      </c>
      <c r="B9" s="2">
        <v>10000</v>
      </c>
      <c r="C9" s="2">
        <v>5000</v>
      </c>
      <c r="D9">
        <v>50</v>
      </c>
      <c r="E9">
        <f t="shared" si="0"/>
        <v>6.4983591643110117</v>
      </c>
      <c r="F9">
        <f t="shared" si="1"/>
        <v>43.961399746563998</v>
      </c>
    </row>
    <row r="10" spans="1:10" x14ac:dyDescent="0.25">
      <c r="A10" s="8" t="s">
        <v>53</v>
      </c>
      <c r="B10" s="2">
        <v>8400</v>
      </c>
      <c r="C10" s="2">
        <v>4200</v>
      </c>
      <c r="D10">
        <v>42</v>
      </c>
      <c r="E10">
        <f t="shared" si="0"/>
        <v>5.4586216980212496</v>
      </c>
      <c r="F10">
        <f t="shared" si="1"/>
        <v>49.420021444585245</v>
      </c>
    </row>
    <row r="11" spans="1:10" x14ac:dyDescent="0.25">
      <c r="A11" s="8" t="s">
        <v>52</v>
      </c>
      <c r="B11" s="2">
        <v>8250</v>
      </c>
      <c r="C11" s="2">
        <v>3300</v>
      </c>
      <c r="D11">
        <v>33</v>
      </c>
      <c r="E11">
        <f t="shared" si="0"/>
        <v>5.3611463105565846</v>
      </c>
      <c r="F11">
        <f t="shared" si="1"/>
        <v>54.78116775514183</v>
      </c>
    </row>
    <row r="12" spans="1:10" x14ac:dyDescent="0.25">
      <c r="A12" s="8" t="s">
        <v>63</v>
      </c>
      <c r="B12" s="2">
        <v>7540</v>
      </c>
      <c r="C12" s="2">
        <v>2900</v>
      </c>
      <c r="D12">
        <v>116</v>
      </c>
      <c r="E12">
        <f t="shared" si="0"/>
        <v>4.8997628098905022</v>
      </c>
      <c r="F12">
        <f t="shared" si="1"/>
        <v>59.680930565032334</v>
      </c>
    </row>
    <row r="13" spans="1:10" x14ac:dyDescent="0.25">
      <c r="A13" s="8" t="s">
        <v>51</v>
      </c>
      <c r="B13" s="2">
        <v>6400</v>
      </c>
      <c r="C13" s="2">
        <v>2400</v>
      </c>
      <c r="D13">
        <v>160</v>
      </c>
      <c r="E13">
        <f t="shared" si="0"/>
        <v>4.1589498651590473</v>
      </c>
      <c r="F13">
        <f t="shared" si="1"/>
        <v>63.839880430191378</v>
      </c>
    </row>
    <row r="14" spans="1:10" x14ac:dyDescent="0.25">
      <c r="A14" s="8" t="s">
        <v>61</v>
      </c>
      <c r="B14" s="2">
        <v>6240</v>
      </c>
      <c r="C14" s="2">
        <v>2340</v>
      </c>
      <c r="D14">
        <v>156</v>
      </c>
      <c r="E14">
        <f t="shared" si="0"/>
        <v>4.054976118530071</v>
      </c>
      <c r="F14">
        <f t="shared" si="1"/>
        <v>67.894856548721449</v>
      </c>
    </row>
    <row r="15" spans="1:10" x14ac:dyDescent="0.25">
      <c r="A15" s="8" t="s">
        <v>54</v>
      </c>
      <c r="B15" s="2">
        <v>5600</v>
      </c>
      <c r="C15" s="2">
        <v>1400</v>
      </c>
      <c r="D15">
        <v>14</v>
      </c>
      <c r="E15">
        <f t="shared" si="0"/>
        <v>3.6390811320141667</v>
      </c>
      <c r="F15">
        <f t="shared" si="1"/>
        <v>71.533937680735619</v>
      </c>
    </row>
    <row r="16" spans="1:10" x14ac:dyDescent="0.25">
      <c r="A16" s="8" t="s">
        <v>59</v>
      </c>
      <c r="B16" s="2">
        <v>4850</v>
      </c>
      <c r="C16" s="2">
        <v>1940</v>
      </c>
      <c r="D16">
        <v>97</v>
      </c>
      <c r="E16">
        <f t="shared" si="0"/>
        <v>3.1517041946908408</v>
      </c>
      <c r="F16">
        <f t="shared" si="1"/>
        <v>74.685641875426455</v>
      </c>
    </row>
    <row r="17" spans="1:6" x14ac:dyDescent="0.25">
      <c r="A17" s="8" t="s">
        <v>62</v>
      </c>
      <c r="B17" s="2">
        <v>4345</v>
      </c>
      <c r="C17" s="2">
        <v>1975</v>
      </c>
      <c r="D17">
        <v>79</v>
      </c>
      <c r="E17">
        <f t="shared" si="0"/>
        <v>2.8235370568931346</v>
      </c>
      <c r="F17">
        <f t="shared" si="1"/>
        <v>77.509178932319585</v>
      </c>
    </row>
    <row r="18" spans="1:6" x14ac:dyDescent="0.25">
      <c r="A18" s="8" t="s">
        <v>76</v>
      </c>
      <c r="B18" s="2">
        <v>3780</v>
      </c>
      <c r="C18" s="2">
        <v>540</v>
      </c>
      <c r="D18">
        <v>108</v>
      </c>
      <c r="E18">
        <f t="shared" si="0"/>
        <v>2.4563797641095624</v>
      </c>
      <c r="F18">
        <f t="shared" si="1"/>
        <v>79.965558696429142</v>
      </c>
    </row>
    <row r="19" spans="1:6" x14ac:dyDescent="0.25">
      <c r="A19" s="8" t="s">
        <v>58</v>
      </c>
      <c r="B19" s="2">
        <v>3600</v>
      </c>
      <c r="C19" s="2">
        <v>1200</v>
      </c>
      <c r="D19">
        <v>24</v>
      </c>
      <c r="E19">
        <f t="shared" si="0"/>
        <v>2.3394092991519644</v>
      </c>
      <c r="F19">
        <f t="shared" si="1"/>
        <v>82.304967995581109</v>
      </c>
    </row>
    <row r="20" spans="1:6" x14ac:dyDescent="0.25">
      <c r="A20" s="8" t="s">
        <v>60</v>
      </c>
      <c r="B20" s="2">
        <v>3520</v>
      </c>
      <c r="C20" s="2">
        <v>1320</v>
      </c>
      <c r="D20">
        <v>88</v>
      </c>
      <c r="E20">
        <f t="shared" si="0"/>
        <v>2.2874224258374762</v>
      </c>
      <c r="F20">
        <f t="shared" si="1"/>
        <v>84.592390421418585</v>
      </c>
    </row>
    <row r="21" spans="1:6" x14ac:dyDescent="0.25">
      <c r="A21" s="8" t="s">
        <v>73</v>
      </c>
      <c r="B21" s="2">
        <v>3480</v>
      </c>
      <c r="C21" s="2">
        <v>580</v>
      </c>
      <c r="D21">
        <v>116</v>
      </c>
      <c r="E21">
        <f t="shared" si="0"/>
        <v>2.2614289891802319</v>
      </c>
      <c r="F21">
        <f t="shared" si="1"/>
        <v>86.853819410598817</v>
      </c>
    </row>
    <row r="22" spans="1:6" x14ac:dyDescent="0.25">
      <c r="A22" s="8" t="s">
        <v>67</v>
      </c>
      <c r="B22" s="2">
        <v>2800</v>
      </c>
      <c r="C22" s="2">
        <v>1120</v>
      </c>
      <c r="D22">
        <v>28</v>
      </c>
      <c r="E22">
        <f t="shared" si="0"/>
        <v>1.8195405660070834</v>
      </c>
      <c r="F22">
        <f t="shared" si="1"/>
        <v>88.673359976605894</v>
      </c>
    </row>
    <row r="23" spans="1:6" x14ac:dyDescent="0.25">
      <c r="A23" s="8" t="s">
        <v>50</v>
      </c>
      <c r="B23" s="2">
        <v>2800</v>
      </c>
      <c r="C23" s="2">
        <v>560</v>
      </c>
      <c r="D23">
        <v>7</v>
      </c>
      <c r="E23">
        <f t="shared" si="0"/>
        <v>1.8195405660070834</v>
      </c>
      <c r="F23">
        <f t="shared" si="1"/>
        <v>90.492900542612972</v>
      </c>
    </row>
    <row r="24" spans="1:6" x14ac:dyDescent="0.25">
      <c r="A24" s="8" t="s">
        <v>72</v>
      </c>
      <c r="B24" s="2">
        <v>2650</v>
      </c>
      <c r="C24" s="2">
        <v>530</v>
      </c>
      <c r="D24">
        <v>106</v>
      </c>
      <c r="E24">
        <f>B24/$B$34*(100)</f>
        <v>1.7220651785424181</v>
      </c>
      <c r="F24">
        <f t="shared" si="1"/>
        <v>92.214965721155394</v>
      </c>
    </row>
    <row r="25" spans="1:6" x14ac:dyDescent="0.25">
      <c r="A25" s="8" t="s">
        <v>65</v>
      </c>
      <c r="B25" s="2">
        <v>2580</v>
      </c>
      <c r="C25" s="2">
        <v>860</v>
      </c>
      <c r="D25">
        <v>86</v>
      </c>
      <c r="E25">
        <f t="shared" si="0"/>
        <v>1.6765766643922411</v>
      </c>
      <c r="F25">
        <f t="shared" si="1"/>
        <v>93.891542385547638</v>
      </c>
    </row>
    <row r="26" spans="1:6" x14ac:dyDescent="0.25">
      <c r="A26" s="8" t="s">
        <v>75</v>
      </c>
      <c r="B26" s="2">
        <v>2430</v>
      </c>
      <c r="C26" s="2">
        <v>405</v>
      </c>
      <c r="D26">
        <v>81</v>
      </c>
      <c r="E26">
        <f t="shared" si="0"/>
        <v>1.5791012769275758</v>
      </c>
      <c r="F26">
        <f t="shared" si="1"/>
        <v>95.470643662475211</v>
      </c>
    </row>
    <row r="27" spans="1:6" x14ac:dyDescent="0.25">
      <c r="A27" s="8" t="s">
        <v>68</v>
      </c>
      <c r="B27" s="2">
        <v>2310</v>
      </c>
      <c r="C27" s="2">
        <v>660</v>
      </c>
      <c r="D27">
        <v>33</v>
      </c>
      <c r="E27">
        <f t="shared" si="0"/>
        <v>1.5011209669558436</v>
      </c>
      <c r="F27">
        <f t="shared" si="1"/>
        <v>96.97176462943105</v>
      </c>
    </row>
    <row r="28" spans="1:6" x14ac:dyDescent="0.25">
      <c r="A28" s="8" t="s">
        <v>71</v>
      </c>
      <c r="B28" s="2">
        <v>2100</v>
      </c>
      <c r="C28" s="2">
        <v>700</v>
      </c>
      <c r="D28">
        <v>140</v>
      </c>
      <c r="E28">
        <f t="shared" si="0"/>
        <v>1.3646554245053124</v>
      </c>
      <c r="F28">
        <f t="shared" si="1"/>
        <v>98.336420053936365</v>
      </c>
    </row>
    <row r="29" spans="1:6" x14ac:dyDescent="0.25">
      <c r="A29" s="8" t="s">
        <v>74</v>
      </c>
      <c r="B29" s="2">
        <v>1350</v>
      </c>
      <c r="C29" s="2">
        <v>225</v>
      </c>
      <c r="D29">
        <v>45</v>
      </c>
      <c r="E29">
        <f t="shared" si="0"/>
        <v>0.87727848718198653</v>
      </c>
      <c r="F29">
        <f t="shared" si="1"/>
        <v>99.213698541118347</v>
      </c>
    </row>
    <row r="30" spans="1:6" x14ac:dyDescent="0.25">
      <c r="A30" s="8" t="s">
        <v>66</v>
      </c>
      <c r="B30" s="2">
        <v>460</v>
      </c>
      <c r="C30" s="2">
        <v>230</v>
      </c>
      <c r="D30">
        <v>23</v>
      </c>
      <c r="E30">
        <f t="shared" si="0"/>
        <v>0.29892452155830657</v>
      </c>
      <c r="F30">
        <f t="shared" si="1"/>
        <v>99.512623062676653</v>
      </c>
    </row>
    <row r="31" spans="1:6" x14ac:dyDescent="0.25">
      <c r="A31" s="8" t="s">
        <v>70</v>
      </c>
      <c r="B31" s="2">
        <v>280</v>
      </c>
      <c r="C31" s="2">
        <v>80</v>
      </c>
      <c r="D31">
        <v>4</v>
      </c>
      <c r="E31">
        <f t="shared" si="0"/>
        <v>0.18195405660070832</v>
      </c>
      <c r="F31">
        <f t="shared" si="1"/>
        <v>99.694577119277355</v>
      </c>
    </row>
    <row r="32" spans="1:6" x14ac:dyDescent="0.25">
      <c r="A32" s="8" t="s">
        <v>69</v>
      </c>
      <c r="B32" s="2">
        <v>260</v>
      </c>
      <c r="C32" s="2">
        <v>80</v>
      </c>
      <c r="D32">
        <v>4</v>
      </c>
      <c r="E32">
        <f t="shared" si="0"/>
        <v>0.16895733827208631</v>
      </c>
      <c r="F32">
        <f t="shared" si="1"/>
        <v>99.863534457549434</v>
      </c>
    </row>
    <row r="33" spans="1:6" x14ac:dyDescent="0.25">
      <c r="A33" s="8" t="s">
        <v>64</v>
      </c>
      <c r="B33" s="2">
        <v>210</v>
      </c>
      <c r="C33" s="2">
        <v>60</v>
      </c>
      <c r="D33">
        <v>3</v>
      </c>
      <c r="E33">
        <f t="shared" si="0"/>
        <v>0.13646554245053125</v>
      </c>
      <c r="F33">
        <f t="shared" si="1"/>
        <v>99.999999999999972</v>
      </c>
    </row>
    <row r="34" spans="1:6" x14ac:dyDescent="0.25">
      <c r="A34" s="8" t="s">
        <v>78</v>
      </c>
      <c r="B34" s="2">
        <v>153885</v>
      </c>
      <c r="C34" s="2">
        <v>52105</v>
      </c>
      <c r="D34">
        <v>1806</v>
      </c>
    </row>
  </sheetData>
  <sortState xmlns:xlrd2="http://schemas.microsoft.com/office/spreadsheetml/2017/richdata2" ref="A2:D33">
    <sortCondition descending="1" ref="C3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2B7B-A37D-4EF5-9357-322AEDE79557}">
  <dimension ref="A1:D32"/>
  <sheetViews>
    <sheetView zoomScale="96" zoomScaleNormal="96" workbookViewId="0">
      <selection activeCell="B7" sqref="B7"/>
    </sheetView>
  </sheetViews>
  <sheetFormatPr defaultRowHeight="15" x14ac:dyDescent="0.25"/>
  <cols>
    <col min="2" max="2" width="28.7109375" customWidth="1"/>
    <col min="3" max="3" width="20.85546875" customWidth="1"/>
    <col min="4" max="4" width="18.7109375" customWidth="1"/>
  </cols>
  <sheetData>
    <row r="1" spans="1:4" x14ac:dyDescent="0.25">
      <c r="A1" s="9" t="s">
        <v>47</v>
      </c>
      <c r="B1" s="9" t="s">
        <v>81</v>
      </c>
      <c r="C1" s="11" t="s">
        <v>79</v>
      </c>
      <c r="D1" s="11" t="s">
        <v>80</v>
      </c>
    </row>
    <row r="2" spans="1:4" x14ac:dyDescent="0.25">
      <c r="A2" s="23"/>
      <c r="B2" s="25"/>
      <c r="C2" s="27"/>
      <c r="D2" s="27"/>
    </row>
    <row r="3" spans="1:4" x14ac:dyDescent="0.25">
      <c r="A3" s="8" t="s">
        <v>51</v>
      </c>
      <c r="B3">
        <v>160</v>
      </c>
      <c r="C3" s="2">
        <v>6400</v>
      </c>
      <c r="D3" s="2">
        <v>2400</v>
      </c>
    </row>
    <row r="4" spans="1:4" x14ac:dyDescent="0.25">
      <c r="A4" s="8" t="s">
        <v>61</v>
      </c>
      <c r="B4">
        <v>156</v>
      </c>
      <c r="C4" s="2">
        <v>6240</v>
      </c>
      <c r="D4" s="2">
        <v>2340</v>
      </c>
    </row>
    <row r="5" spans="1:4" x14ac:dyDescent="0.25">
      <c r="A5" s="8" t="s">
        <v>71</v>
      </c>
      <c r="B5">
        <v>140</v>
      </c>
      <c r="C5" s="2">
        <v>2100</v>
      </c>
      <c r="D5" s="2">
        <v>700</v>
      </c>
    </row>
    <row r="6" spans="1:4" x14ac:dyDescent="0.25">
      <c r="A6" s="8" t="s">
        <v>73</v>
      </c>
      <c r="B6">
        <v>116</v>
      </c>
      <c r="C6" s="2">
        <v>3480</v>
      </c>
      <c r="D6" s="2">
        <v>580</v>
      </c>
    </row>
    <row r="7" spans="1:4" x14ac:dyDescent="0.25">
      <c r="A7" s="8" t="s">
        <v>63</v>
      </c>
      <c r="B7">
        <v>116</v>
      </c>
      <c r="C7" s="2">
        <v>7540</v>
      </c>
      <c r="D7" s="2">
        <v>2900</v>
      </c>
    </row>
    <row r="8" spans="1:4" x14ac:dyDescent="0.25">
      <c r="A8" s="8" t="s">
        <v>76</v>
      </c>
      <c r="B8">
        <v>108</v>
      </c>
      <c r="C8" s="2">
        <v>3780</v>
      </c>
      <c r="D8" s="2">
        <v>540</v>
      </c>
    </row>
    <row r="9" spans="1:4" x14ac:dyDescent="0.25">
      <c r="A9" s="8" t="s">
        <v>72</v>
      </c>
      <c r="B9">
        <v>106</v>
      </c>
      <c r="C9" s="2">
        <v>2650</v>
      </c>
      <c r="D9" s="2">
        <v>530</v>
      </c>
    </row>
    <row r="10" spans="1:4" x14ac:dyDescent="0.25">
      <c r="A10" s="8" t="s">
        <v>59</v>
      </c>
      <c r="B10">
        <v>97</v>
      </c>
      <c r="C10" s="2">
        <v>4850</v>
      </c>
      <c r="D10" s="2">
        <v>1940</v>
      </c>
    </row>
    <row r="11" spans="1:4" x14ac:dyDescent="0.25">
      <c r="A11" s="8" t="s">
        <v>60</v>
      </c>
      <c r="B11">
        <v>88</v>
      </c>
      <c r="C11" s="2">
        <v>3520</v>
      </c>
      <c r="D11" s="2">
        <v>1320</v>
      </c>
    </row>
    <row r="12" spans="1:4" x14ac:dyDescent="0.25">
      <c r="A12" s="8" t="s">
        <v>65</v>
      </c>
      <c r="B12">
        <v>86</v>
      </c>
      <c r="C12" s="2">
        <v>2580</v>
      </c>
      <c r="D12" s="2">
        <v>860</v>
      </c>
    </row>
    <row r="13" spans="1:4" x14ac:dyDescent="0.25">
      <c r="A13" s="8" t="s">
        <v>75</v>
      </c>
      <c r="B13">
        <v>81</v>
      </c>
      <c r="C13" s="2">
        <v>2430</v>
      </c>
      <c r="D13" s="2">
        <v>405</v>
      </c>
    </row>
    <row r="14" spans="1:4" x14ac:dyDescent="0.25">
      <c r="A14" s="8" t="s">
        <v>62</v>
      </c>
      <c r="B14">
        <v>79</v>
      </c>
      <c r="C14" s="2">
        <v>4345</v>
      </c>
      <c r="D14" s="2">
        <v>1975</v>
      </c>
    </row>
    <row r="15" spans="1:4" x14ac:dyDescent="0.25">
      <c r="A15" s="8" t="s">
        <v>48</v>
      </c>
      <c r="B15">
        <v>50</v>
      </c>
      <c r="C15" s="2">
        <v>10000</v>
      </c>
      <c r="D15" s="2">
        <v>5000</v>
      </c>
    </row>
    <row r="16" spans="1:4" x14ac:dyDescent="0.25">
      <c r="A16" s="8" t="s">
        <v>74</v>
      </c>
      <c r="B16">
        <v>45</v>
      </c>
      <c r="C16" s="2">
        <v>1350</v>
      </c>
      <c r="D16" s="2">
        <v>225</v>
      </c>
    </row>
    <row r="17" spans="1:4" x14ac:dyDescent="0.25">
      <c r="A17" s="8" t="s">
        <v>53</v>
      </c>
      <c r="B17">
        <v>42</v>
      </c>
      <c r="C17" s="2">
        <v>8400</v>
      </c>
      <c r="D17" s="2">
        <v>4200</v>
      </c>
    </row>
    <row r="18" spans="1:4" x14ac:dyDescent="0.25">
      <c r="A18" s="8" t="s">
        <v>49</v>
      </c>
      <c r="B18">
        <v>39</v>
      </c>
      <c r="C18" s="2">
        <v>13650</v>
      </c>
      <c r="D18" s="2">
        <v>3900</v>
      </c>
    </row>
    <row r="19" spans="1:4" x14ac:dyDescent="0.25">
      <c r="A19" s="8" t="s">
        <v>77</v>
      </c>
      <c r="B19">
        <v>36</v>
      </c>
      <c r="C19" s="2">
        <v>10800</v>
      </c>
      <c r="D19" s="2">
        <v>3600</v>
      </c>
    </row>
    <row r="20" spans="1:4" x14ac:dyDescent="0.25">
      <c r="A20" s="8" t="s">
        <v>68</v>
      </c>
      <c r="B20">
        <v>33</v>
      </c>
      <c r="C20" s="2">
        <v>2310</v>
      </c>
      <c r="D20" s="2">
        <v>660</v>
      </c>
    </row>
    <row r="21" spans="1:4" x14ac:dyDescent="0.25">
      <c r="A21" s="8" t="s">
        <v>52</v>
      </c>
      <c r="B21">
        <v>33</v>
      </c>
      <c r="C21" s="2">
        <v>8250</v>
      </c>
      <c r="D21" s="2">
        <v>3300</v>
      </c>
    </row>
    <row r="22" spans="1:4" x14ac:dyDescent="0.25">
      <c r="A22" s="8" t="s">
        <v>55</v>
      </c>
      <c r="B22">
        <v>32</v>
      </c>
      <c r="C22" s="2">
        <v>11200</v>
      </c>
      <c r="D22" s="2">
        <v>3200</v>
      </c>
    </row>
    <row r="23" spans="1:4" x14ac:dyDescent="0.25">
      <c r="A23" s="8" t="s">
        <v>56</v>
      </c>
      <c r="B23">
        <v>32</v>
      </c>
      <c r="C23" s="2">
        <v>11200</v>
      </c>
      <c r="D23" s="2">
        <v>3200</v>
      </c>
    </row>
    <row r="24" spans="1:4" x14ac:dyDescent="0.25">
      <c r="A24" s="8" t="s">
        <v>67</v>
      </c>
      <c r="B24">
        <v>28</v>
      </c>
      <c r="C24" s="2">
        <v>2800</v>
      </c>
      <c r="D24" s="2">
        <v>1120</v>
      </c>
    </row>
    <row r="25" spans="1:4" x14ac:dyDescent="0.25">
      <c r="A25" s="8" t="s">
        <v>58</v>
      </c>
      <c r="B25">
        <v>24</v>
      </c>
      <c r="C25" s="2">
        <v>3600</v>
      </c>
      <c r="D25" s="2">
        <v>1200</v>
      </c>
    </row>
    <row r="26" spans="1:4" x14ac:dyDescent="0.25">
      <c r="A26" s="8" t="s">
        <v>57</v>
      </c>
      <c r="B26">
        <v>24</v>
      </c>
      <c r="C26" s="2">
        <v>10800</v>
      </c>
      <c r="D26" s="2">
        <v>3600</v>
      </c>
    </row>
    <row r="27" spans="1:4" x14ac:dyDescent="0.25">
      <c r="A27" s="8" t="s">
        <v>66</v>
      </c>
      <c r="B27">
        <v>23</v>
      </c>
      <c r="C27" s="2">
        <v>460</v>
      </c>
      <c r="D27" s="2">
        <v>230</v>
      </c>
    </row>
    <row r="28" spans="1:4" x14ac:dyDescent="0.25">
      <c r="A28" s="8" t="s">
        <v>54</v>
      </c>
      <c r="B28">
        <v>14</v>
      </c>
      <c r="C28" s="2">
        <v>5600</v>
      </c>
      <c r="D28" s="2">
        <v>1400</v>
      </c>
    </row>
    <row r="29" spans="1:4" x14ac:dyDescent="0.25">
      <c r="A29" s="8" t="s">
        <v>50</v>
      </c>
      <c r="B29">
        <v>7</v>
      </c>
      <c r="C29" s="2">
        <v>2800</v>
      </c>
      <c r="D29" s="2">
        <v>560</v>
      </c>
    </row>
    <row r="30" spans="1:4" x14ac:dyDescent="0.25">
      <c r="A30" s="8" t="s">
        <v>69</v>
      </c>
      <c r="B30">
        <v>4</v>
      </c>
      <c r="C30" s="2">
        <v>260</v>
      </c>
      <c r="D30" s="2">
        <v>80</v>
      </c>
    </row>
    <row r="31" spans="1:4" x14ac:dyDescent="0.25">
      <c r="A31" s="8" t="s">
        <v>70</v>
      </c>
      <c r="B31">
        <v>4</v>
      </c>
      <c r="C31" s="2">
        <v>280</v>
      </c>
      <c r="D31" s="2">
        <v>80</v>
      </c>
    </row>
    <row r="32" spans="1:4" x14ac:dyDescent="0.25">
      <c r="A32" s="28" t="s">
        <v>64</v>
      </c>
      <c r="B32" s="29">
        <v>3</v>
      </c>
      <c r="C32" s="30">
        <v>210</v>
      </c>
      <c r="D32" s="30">
        <v>60</v>
      </c>
    </row>
  </sheetData>
  <sortState xmlns:xlrd2="http://schemas.microsoft.com/office/spreadsheetml/2017/richdata2" ref="A2:D32">
    <sortCondition descending="1" ref="B2:B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Original Sales Data</vt:lpstr>
      <vt:lpstr>Updated Original Sales Data</vt:lpstr>
      <vt:lpstr>Sheet1</vt:lpstr>
      <vt:lpstr>Weekly Average Sales</vt:lpstr>
      <vt:lpstr>Average Weekday Sale</vt:lpstr>
      <vt:lpstr>Sheet4</vt:lpstr>
      <vt:lpstr>Total Revnue vs total Profit</vt:lpstr>
      <vt:lpstr>Sheet3</vt:lpstr>
      <vt:lpstr>Daily Sales</vt:lpstr>
      <vt:lpstr>Profit Trend</vt:lpstr>
      <vt:lpstr>Weekly Sales</vt:lpstr>
      <vt:lpstr>Sales vs Profit</vt:lpstr>
      <vt:lpstr>Item Type Wise Sales</vt:lpstr>
      <vt:lpstr>ABC Analysis</vt:lpstr>
      <vt:lpstr>No of items 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Ojasi-PC</dc:creator>
  <cp:lastModifiedBy>bdelson312@gmail.com</cp:lastModifiedBy>
  <dcterms:created xsi:type="dcterms:W3CDTF">2023-03-07T14:47:44Z</dcterms:created>
  <dcterms:modified xsi:type="dcterms:W3CDTF">2026-06-11T06:27:18Z</dcterms:modified>
</cp:coreProperties>
</file>